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327"/>
  <workbookPr filterPrivacy="1" codeName="ThisWorkbook"/>
  <bookViews>
    <workbookView xWindow="0" yWindow="0" windowWidth="0" windowHeight="0"/>
  </bookViews>
  <sheets>
    <sheet name="Extrato de Fluxo de Caixa" sheetId="1" r:id="rId1"/>
  </sheets>
  <definedNames>
    <definedName name="DatadeIníciodoAnoFiscal">'Extrato de Fluxo de Caixa'!$B$4</definedName>
  </definedNames>
  <calcPr calcId="152511"/>
</workbook>
</file>

<file path=xl/calcChain.xml><?xml version="1.0" encoding="utf-8"?>
<calcChain xmlns="http://schemas.openxmlformats.org/spreadsheetml/2006/main">
  <c r="P3" i="1" l="1"/>
  <c r="O3" i="1"/>
  <c r="N3" i="1"/>
  <c r="M3" i="1"/>
  <c r="L3" i="1"/>
  <c r="K3" i="1"/>
  <c r="J3" i="1"/>
  <c r="I3" i="1"/>
  <c r="H3" i="1"/>
  <c r="G3" i="1"/>
  <c r="F3" i="1"/>
  <c r="E3" i="1"/>
  <c r="E46" i="1" l="1"/>
  <c r="F46" i="1"/>
  <c r="G46" i="1"/>
  <c r="H46" i="1"/>
  <c r="I46" i="1"/>
  <c r="J46" i="1"/>
  <c r="K46" i="1"/>
  <c r="L46" i="1"/>
  <c r="M46" i="1"/>
  <c r="N46" i="1"/>
  <c r="O46" i="1"/>
  <c r="P46" i="1"/>
  <c r="D46" i="1"/>
  <c r="R41" i="1"/>
  <c r="R42" i="1"/>
  <c r="R43" i="1"/>
  <c r="R44" i="1"/>
  <c r="R40" i="1"/>
  <c r="E45" i="1"/>
  <c r="F45" i="1"/>
  <c r="G45" i="1"/>
  <c r="H45" i="1"/>
  <c r="I45" i="1"/>
  <c r="J45" i="1"/>
  <c r="K45" i="1"/>
  <c r="L45" i="1"/>
  <c r="M45" i="1"/>
  <c r="N45" i="1"/>
  <c r="O45" i="1"/>
  <c r="P45" i="1"/>
  <c r="D45" i="1"/>
  <c r="E37" i="1"/>
  <c r="F37" i="1"/>
  <c r="G37" i="1"/>
  <c r="H37" i="1"/>
  <c r="I37" i="1"/>
  <c r="J37" i="1"/>
  <c r="K37" i="1"/>
  <c r="L37" i="1"/>
  <c r="M37" i="1"/>
  <c r="N37" i="1"/>
  <c r="O37" i="1"/>
  <c r="P37" i="1"/>
  <c r="D37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16" i="1"/>
  <c r="R9" i="1"/>
  <c r="R10" i="1"/>
  <c r="R11" i="1"/>
  <c r="D13" i="1"/>
  <c r="R12" i="1"/>
  <c r="E12" i="1"/>
  <c r="F12" i="1"/>
  <c r="G12" i="1"/>
  <c r="H12" i="1"/>
  <c r="I12" i="1"/>
  <c r="J12" i="1"/>
  <c r="K12" i="1"/>
  <c r="L12" i="1"/>
  <c r="M12" i="1"/>
  <c r="N12" i="1"/>
  <c r="O12" i="1"/>
  <c r="P12" i="1"/>
  <c r="D12" i="1"/>
  <c r="R37" i="1" l="1"/>
  <c r="E4" i="1" l="1"/>
  <c r="F4" i="1" s="1"/>
  <c r="G4" i="1" l="1"/>
  <c r="H4" i="1" s="1"/>
  <c r="I4" i="1" s="1"/>
  <c r="J4" i="1" s="1"/>
  <c r="K4" i="1" s="1"/>
  <c r="L4" i="1" s="1"/>
  <c r="M4" i="1" s="1"/>
  <c r="N4" i="1" s="1"/>
  <c r="O4" i="1" s="1"/>
  <c r="P4" i="1" s="1"/>
  <c r="D48" i="1" l="1"/>
  <c r="E6" i="1" s="1"/>
  <c r="R46" i="1"/>
  <c r="E13" i="1" l="1"/>
  <c r="E48" i="1" s="1"/>
  <c r="F6" i="1" s="1"/>
  <c r="F13" i="1" s="1"/>
  <c r="F48" i="1" s="1"/>
  <c r="G6" i="1" s="1"/>
  <c r="G13" i="1" l="1"/>
  <c r="G48" i="1" s="1"/>
  <c r="H6" i="1" s="1"/>
  <c r="H13" i="1" l="1"/>
  <c r="H48" i="1" s="1"/>
  <c r="I6" i="1" s="1"/>
  <c r="I13" i="1" l="1"/>
  <c r="I48" i="1" s="1"/>
  <c r="J6" i="1" s="1"/>
  <c r="J13" i="1" l="1"/>
  <c r="J48" i="1" s="1"/>
  <c r="K6" i="1" s="1"/>
  <c r="K13" i="1" l="1"/>
  <c r="K48" i="1" s="1"/>
  <c r="L6" i="1" s="1"/>
  <c r="L13" i="1" l="1"/>
  <c r="L48" i="1" s="1"/>
  <c r="M6" i="1" s="1"/>
  <c r="M13" i="1" l="1"/>
  <c r="M48" i="1" s="1"/>
  <c r="N6" i="1" s="1"/>
  <c r="N13" i="1" l="1"/>
  <c r="N48" i="1" s="1"/>
  <c r="O6" i="1" s="1"/>
  <c r="O13" i="1" l="1"/>
  <c r="O48" i="1" s="1"/>
  <c r="P6" i="1" s="1"/>
  <c r="P13" i="1" l="1"/>
  <c r="P48" i="1" s="1"/>
  <c r="R6" i="1"/>
  <c r="R13" i="1" s="1"/>
  <c r="R48" i="1" s="1"/>
</calcChain>
</file>

<file path=xl/sharedStrings.xml><?xml version="1.0" encoding="utf-8"?>
<sst xmlns="http://schemas.openxmlformats.org/spreadsheetml/2006/main" count="45" uniqueCount="40">
  <si>
    <t>Dinheiro em Caixa (início do mês)</t>
  </si>
  <si>
    <t>Vendas em Dinheiro</t>
  </si>
  <si>
    <t>Cobranças de contas correntes</t>
  </si>
  <si>
    <t>Empréstimo/outra injeção de dinheiro</t>
  </si>
  <si>
    <t>Total Disponível em Dinheiro (antes do recolhimento do dinheiro do caixa)</t>
  </si>
  <si>
    <t>Compras (mercadorias)</t>
  </si>
  <si>
    <t>Compras (especificar)</t>
  </si>
  <si>
    <t>Salários brutos (retirada exata)</t>
  </si>
  <si>
    <t>Despesas de folha de pagamento (impostos, etc.)</t>
  </si>
  <si>
    <t>Serviços externos</t>
  </si>
  <si>
    <t>Suprimentos (escritório e operacionais)</t>
  </si>
  <si>
    <t>Reparos e manutenção</t>
  </si>
  <si>
    <t>Propaganda</t>
  </si>
  <si>
    <t>Carro, entregas e viagens</t>
  </si>
  <si>
    <t>Contabilidade e jurídico</t>
  </si>
  <si>
    <t>Aluguel</t>
  </si>
  <si>
    <t>Telefone</t>
  </si>
  <si>
    <t>Serviços essenciais</t>
  </si>
  <si>
    <t>Seguro</t>
  </si>
  <si>
    <t>Impostos (imóveis, etc.)</t>
  </si>
  <si>
    <t>Juros</t>
  </si>
  <si>
    <t>Outras despesas (especificar)</t>
  </si>
  <si>
    <t>Outras (especificar)</t>
  </si>
  <si>
    <t>Diversos</t>
  </si>
  <si>
    <t>Pagamento de capital do empréstimo</t>
  </si>
  <si>
    <t>Compra de capital (especificar)</t>
  </si>
  <si>
    <t>Outros custos iniciais</t>
  </si>
  <si>
    <t>Situação do Caixa (fim do mês)</t>
  </si>
  <si>
    <t>Total</t>
  </si>
  <si>
    <t>Recibos de Caixa</t>
  </si>
  <si>
    <t>Caixa Recolhido</t>
  </si>
  <si>
    <t>Caixa Recolhido (Não P&amp;L)</t>
  </si>
  <si>
    <t>Total do Caixa Recolhido</t>
  </si>
  <si>
    <t>Início do ano fiscal:</t>
  </si>
  <si>
    <t>EST</t>
  </si>
  <si>
    <t>EST Item</t>
  </si>
  <si>
    <r>
      <t>Fluxo de Caixa</t>
    </r>
    <r>
      <rPr>
        <b/>
        <sz val="28"/>
        <color theme="1" tint="0.14999847407452621"/>
        <rFont val="Franklin Gothic Medium"/>
        <family val="2"/>
        <scheme val="major"/>
      </rPr>
      <t>Extrato</t>
    </r>
  </si>
  <si>
    <t>(Pré) Início</t>
  </si>
  <si>
    <t>Reserva e/ou caução</t>
  </si>
  <si>
    <t>Saque dos proprietários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</si>
</sst>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mmm"/>
    <numFmt numFmtId="165" formatCode="dd"/>
    <numFmt numFmtId="166" formatCode="0_);\-0_)"/>
  </numFmts>
  <fonts count="17" x14ac:knownFonts="1">
    <font>
      <sz val="10"/>
      <color theme="1" tint="0.14996795556505021"/>
      <name val="Franklin Gothic Medium"/>
      <family val="2"/>
      <scheme val="minor"/>
    </font>
    <font>
      <b/>
      <sz val="11"/>
      <color theme="4" tint="-0.249977111117893"/>
      <name val="Franklin Gothic Medium"/>
      <family val="2"/>
      <scheme val="minor"/>
    </font>
    <font>
      <sz val="10"/>
      <color theme="1" tint="0.14999847407452621"/>
      <name val="Franklin Gothic Medium"/>
      <family val="2"/>
      <scheme val="minor"/>
    </font>
    <font>
      <sz val="9"/>
      <color theme="1" tint="0.14999847407452621"/>
      <name val="Franklin Gothic Medium"/>
      <family val="2"/>
      <scheme val="minor"/>
    </font>
    <font>
      <b/>
      <sz val="12"/>
      <color theme="1" tint="0.14999847407452621"/>
      <name val="Franklin Gothic Medium"/>
      <family val="2"/>
      <scheme val="minor"/>
    </font>
    <font>
      <b/>
      <sz val="28"/>
      <color theme="4"/>
      <name val="Franklin Gothic Medium"/>
      <family val="2"/>
      <scheme val="major"/>
    </font>
    <font>
      <b/>
      <sz val="28"/>
      <color theme="1" tint="0.14999847407452621"/>
      <name val="Franklin Gothic Medium"/>
      <family val="2"/>
      <scheme val="major"/>
    </font>
    <font>
      <b/>
      <sz val="12"/>
      <color theme="1" tint="0.14999847407452621"/>
      <name val="Franklin Gothic Medium"/>
      <family val="2"/>
      <scheme val="major"/>
    </font>
    <font>
      <sz val="18"/>
      <color theme="1" tint="0.14996795556505021"/>
      <name val="Franklin Gothic Medium"/>
      <family val="2"/>
      <scheme val="major"/>
    </font>
    <font>
      <sz val="11"/>
      <color theme="1" tint="0.14975432599871821"/>
      <name val="Franklin Gothic Medium"/>
      <family val="2"/>
      <scheme val="major"/>
    </font>
    <font>
      <sz val="12"/>
      <color theme="3"/>
      <name val="Franklin Gothic Medium"/>
      <family val="2"/>
      <scheme val="major"/>
    </font>
    <font>
      <sz val="11"/>
      <color theme="1" tint="0.14993743705557422"/>
      <name val="Franklin Gothic Medium"/>
      <family val="2"/>
      <scheme val="major"/>
    </font>
    <font>
      <sz val="14"/>
      <color theme="1" tint="0.14975432599871821"/>
      <name val="Franklin Gothic Medium"/>
      <family val="2"/>
      <scheme val="major"/>
    </font>
    <font>
      <sz val="10"/>
      <color theme="1" tint="0.499984740745262"/>
      <name val="Franklin Gothic Medium"/>
      <family val="2"/>
      <scheme val="minor"/>
    </font>
    <font>
      <sz val="10"/>
      <color theme="1"/>
      <name val="Franklin Gothic Medium"/>
      <scheme val="minor"/>
    </font>
    <font>
      <sz val="10"/>
      <color theme="1" tint="0.14996795556505021"/>
      <name val="Franklin Gothic Medium"/>
      <scheme val="minor"/>
    </font>
    <font>
      <b/>
      <sz val="11"/>
      <color theme="4" tint="-0.249977111117893"/>
      <name val="Franklin Gothic Medium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theme="1" tint="0.14996795556505021"/>
      </bottom>
      <diagonal/>
    </border>
    <border>
      <left style="dotted">
        <color theme="0" tint="-0.34998626667073579"/>
      </left>
      <right style="dotted">
        <color theme="0" tint="-0.34998626667073579"/>
      </right>
      <top/>
      <bottom/>
      <diagonal/>
    </border>
    <border>
      <left style="dotted">
        <color theme="0" tint="-0.34998626667073579"/>
      </left>
      <right style="dotted">
        <color theme="0" tint="-0.34998626667073579"/>
      </right>
      <top/>
      <bottom style="thick">
        <color theme="4"/>
      </bottom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dotted">
        <color theme="0" tint="-0.34998626667073579"/>
      </left>
      <right style="dotted">
        <color theme="0" tint="-0.34998626667073579"/>
      </right>
      <top style="thin">
        <color theme="0"/>
      </top>
      <bottom style="thin">
        <color theme="0"/>
      </bottom>
      <diagonal/>
    </border>
    <border>
      <left style="dotted">
        <color theme="0" tint="-0.34998626667073579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dotted">
        <color theme="0" tint="-0.34998626667073579"/>
      </left>
      <right style="dotted">
        <color theme="0" tint="-0.34998626667073579"/>
      </right>
      <top/>
      <bottom style="medium">
        <color theme="4" tint="0.39994506668294322"/>
      </bottom>
      <diagonal/>
    </border>
    <border>
      <left/>
      <right style="dotted">
        <color theme="0" tint="-0.34998626667073579"/>
      </right>
      <top/>
      <bottom style="medium">
        <color theme="4" tint="0.39994506668294322"/>
      </bottom>
      <diagonal/>
    </border>
  </borders>
  <cellStyleXfs count="7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166" fontId="2" fillId="3" borderId="10" applyFont="0" applyAlignment="0">
      <alignment vertical="center"/>
    </xf>
    <xf numFmtId="164" fontId="8" fillId="0" borderId="2">
      <alignment horizontal="right" vertical="center" wrapText="1" indent="1"/>
    </xf>
  </cellStyleXfs>
  <cellXfs count="56">
    <xf numFmtId="0" fontId="0" fillId="0" borderId="0" xfId="0">
      <alignment vertical="center"/>
    </xf>
    <xf numFmtId="3" fontId="0" fillId="0" borderId="0" xfId="0" applyNumberFormat="1" applyFont="1" applyFill="1" applyBorder="1">
      <alignment vertical="center"/>
    </xf>
    <xf numFmtId="0" fontId="0" fillId="0" borderId="0" xfId="0" applyFill="1" applyBorder="1">
      <alignment vertical="center"/>
    </xf>
    <xf numFmtId="14" fontId="2" fillId="0" borderId="0" xfId="0" applyNumberFormat="1" applyFont="1" applyBorder="1" applyAlignment="1">
      <alignment horizontal="left" vertical="center" indent="1"/>
    </xf>
    <xf numFmtId="3" fontId="2" fillId="0" borderId="0" xfId="0" applyNumberFormat="1" applyFont="1" applyFill="1" applyBorder="1" applyAlignment="1">
      <alignment horizontal="right" wrapText="1" indent="1"/>
    </xf>
    <xf numFmtId="165" fontId="3" fillId="0" borderId="0" xfId="0" applyNumberFormat="1" applyFont="1" applyFill="1" applyBorder="1" applyAlignment="1">
      <alignment horizontal="right" wrapText="1" indent="1"/>
    </xf>
    <xf numFmtId="3" fontId="3" fillId="0" borderId="0" xfId="0" applyNumberFormat="1" applyFont="1" applyFill="1" applyBorder="1" applyAlignment="1">
      <alignment horizontal="right" wrapText="1" indent="1"/>
    </xf>
    <xf numFmtId="0" fontId="5" fillId="0" borderId="1" xfId="1" applyBorder="1"/>
    <xf numFmtId="0" fontId="0" fillId="0" borderId="1" xfId="0" applyBorder="1">
      <alignment vertical="center"/>
    </xf>
    <xf numFmtId="0" fontId="1" fillId="0" borderId="1" xfId="0" applyFont="1" applyBorder="1" applyAlignment="1">
      <alignment horizontal="right"/>
    </xf>
    <xf numFmtId="166" fontId="0" fillId="0" borderId="0" xfId="0" applyNumberFormat="1">
      <alignment vertical="center"/>
    </xf>
    <xf numFmtId="0" fontId="9" fillId="0" borderId="0" xfId="2" applyAlignment="1">
      <alignment horizontal="left"/>
    </xf>
    <xf numFmtId="166" fontId="0" fillId="0" borderId="0" xfId="0" applyNumberFormat="1" applyFont="1" applyFill="1" applyBorder="1">
      <alignment vertical="center"/>
    </xf>
    <xf numFmtId="0" fontId="0" fillId="0" borderId="0" xfId="0" applyAlignment="1"/>
    <xf numFmtId="3" fontId="3" fillId="0" borderId="2" xfId="0" applyNumberFormat="1" applyFont="1" applyFill="1" applyBorder="1" applyAlignment="1">
      <alignment horizontal="right" wrapText="1" indent="1"/>
    </xf>
    <xf numFmtId="3" fontId="4" fillId="0" borderId="2" xfId="0" applyNumberFormat="1" applyFont="1" applyFill="1" applyBorder="1" applyAlignment="1">
      <alignment horizontal="right" vertical="center" wrapText="1" indent="1"/>
    </xf>
    <xf numFmtId="3" fontId="2" fillId="0" borderId="3" xfId="0" applyNumberFormat="1" applyFont="1" applyFill="1" applyBorder="1" applyAlignment="1">
      <alignment horizontal="right" wrapText="1" indent="1"/>
    </xf>
    <xf numFmtId="0" fontId="0" fillId="2" borderId="0" xfId="0" applyFill="1">
      <alignment vertical="center"/>
    </xf>
    <xf numFmtId="0" fontId="0" fillId="2" borderId="4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5" xfId="0" applyFill="1" applyBorder="1">
      <alignment vertical="center"/>
    </xf>
    <xf numFmtId="164" fontId="7" fillId="2" borderId="7" xfId="0" applyNumberFormat="1" applyFont="1" applyFill="1" applyBorder="1" applyAlignment="1">
      <alignment horizontal="right" vertical="center" wrapText="1" indent="1"/>
    </xf>
    <xf numFmtId="165" fontId="3" fillId="2" borderId="7" xfId="0" applyNumberFormat="1" applyFont="1" applyFill="1" applyBorder="1" applyAlignment="1">
      <alignment horizontal="right" wrapText="1" indent="1"/>
    </xf>
    <xf numFmtId="165" fontId="3" fillId="2" borderId="6" xfId="0" applyNumberFormat="1" applyFont="1" applyFill="1" applyBorder="1" applyAlignment="1">
      <alignment horizontal="right" wrapText="1" indent="1"/>
    </xf>
    <xf numFmtId="166" fontId="2" fillId="2" borderId="7" xfId="0" applyNumberFormat="1" applyFont="1" applyFill="1" applyBorder="1" applyAlignment="1">
      <alignment horizontal="right"/>
    </xf>
    <xf numFmtId="166" fontId="0" fillId="2" borderId="6" xfId="0" applyNumberFormat="1" applyFill="1" applyBorder="1">
      <alignment vertical="center"/>
    </xf>
    <xf numFmtId="166" fontId="2" fillId="2" borderId="8" xfId="0" applyNumberFormat="1" applyFont="1" applyFill="1" applyBorder="1" applyAlignment="1">
      <alignment vertical="center"/>
    </xf>
    <xf numFmtId="3" fontId="0" fillId="2" borderId="6" xfId="0" applyNumberFormat="1" applyFont="1" applyFill="1" applyBorder="1">
      <alignment vertical="center"/>
    </xf>
    <xf numFmtId="166" fontId="0" fillId="2" borderId="6" xfId="0" applyNumberFormat="1" applyFont="1" applyFill="1" applyBorder="1">
      <alignment vertical="center"/>
    </xf>
    <xf numFmtId="0" fontId="0" fillId="2" borderId="9" xfId="0" applyFill="1" applyBorder="1">
      <alignment vertical="center"/>
    </xf>
    <xf numFmtId="0" fontId="9" fillId="0" borderId="0" xfId="2" applyAlignment="1">
      <alignment vertical="center"/>
    </xf>
    <xf numFmtId="0" fontId="1" fillId="0" borderId="11" xfId="0" applyFont="1" applyFill="1" applyBorder="1" applyAlignment="1"/>
    <xf numFmtId="166" fontId="2" fillId="3" borderId="10" xfId="5" applyFont="1" applyAlignment="1">
      <alignment vertical="center"/>
    </xf>
    <xf numFmtId="0" fontId="0" fillId="0" borderId="10" xfId="0" applyBorder="1">
      <alignment vertical="center"/>
    </xf>
    <xf numFmtId="0" fontId="1" fillId="0" borderId="10" xfId="0" applyFont="1" applyFill="1" applyBorder="1">
      <alignment vertical="center"/>
    </xf>
    <xf numFmtId="165" fontId="2" fillId="0" borderId="3" xfId="0" applyNumberFormat="1" applyFont="1" applyFill="1" applyBorder="1" applyAlignment="1">
      <alignment horizontal="right" wrapText="1" indent="1"/>
    </xf>
    <xf numFmtId="166" fontId="2" fillId="3" borderId="10" xfId="5" applyFont="1" applyBorder="1" applyAlignment="1">
      <alignment vertical="center"/>
    </xf>
    <xf numFmtId="166" fontId="9" fillId="0" borderId="11" xfId="2" applyNumberFormat="1" applyFill="1" applyBorder="1" applyAlignment="1">
      <alignment horizontal="left" vertical="center"/>
    </xf>
    <xf numFmtId="166" fontId="2" fillId="0" borderId="10" xfId="0" applyNumberFormat="1" applyFont="1" applyFill="1" applyBorder="1" applyAlignment="1">
      <alignment horizontal="right" vertical="center"/>
    </xf>
    <xf numFmtId="164" fontId="8" fillId="0" borderId="2" xfId="6">
      <alignment horizontal="right" vertical="center" wrapText="1" indent="1"/>
    </xf>
    <xf numFmtId="166" fontId="9" fillId="3" borderId="11" xfId="2" applyNumberFormat="1" applyFill="1" applyBorder="1" applyAlignment="1">
      <alignment horizontal="left" vertical="center"/>
    </xf>
    <xf numFmtId="0" fontId="12" fillId="0" borderId="0" xfId="2" applyFont="1"/>
    <xf numFmtId="166" fontId="0" fillId="0" borderId="0" xfId="0" applyNumberFormat="1" applyAlignment="1">
      <alignment horizontal="right" vertical="center"/>
    </xf>
    <xf numFmtId="166" fontId="0" fillId="0" borderId="0" xfId="0" applyNumberFormat="1" applyFont="1" applyFill="1" applyBorder="1" applyAlignment="1">
      <alignment horizontal="right" vertical="center"/>
    </xf>
    <xf numFmtId="166" fontId="13" fillId="0" borderId="0" xfId="0" applyNumberFormat="1" applyFont="1" applyAlignment="1">
      <alignment horizontal="left" vertical="center" indent="1"/>
    </xf>
    <xf numFmtId="0" fontId="13" fillId="0" borderId="0" xfId="0" applyFont="1" applyFill="1" applyBorder="1" applyAlignment="1">
      <alignment horizontal="left" vertical="center" indent="1"/>
    </xf>
    <xf numFmtId="0" fontId="14" fillId="0" borderId="0" xfId="0" applyNumberFormat="1" applyFont="1" applyAlignment="1">
      <alignment horizontal="left" vertical="center" indent="1"/>
    </xf>
    <xf numFmtId="0" fontId="0" fillId="0" borderId="0" xfId="0" applyNumberFormat="1">
      <alignment vertical="center"/>
    </xf>
    <xf numFmtId="0" fontId="0" fillId="2" borderId="6" xfId="0" applyNumberFormat="1" applyFill="1" applyBorder="1">
      <alignment vertical="center"/>
    </xf>
    <xf numFmtId="0" fontId="15" fillId="0" borderId="0" xfId="0" applyFont="1" applyFill="1" applyBorder="1" applyAlignment="1">
      <alignment horizontal="left" vertical="center" indent="1"/>
    </xf>
    <xf numFmtId="0" fontId="15" fillId="0" borderId="0" xfId="0" applyNumberFormat="1" applyFont="1" applyFill="1" applyBorder="1" applyAlignment="1">
      <alignment vertical="center"/>
    </xf>
    <xf numFmtId="0" fontId="0" fillId="2" borderId="6" xfId="0" applyNumberFormat="1" applyFill="1" applyBorder="1" applyAlignment="1">
      <alignment vertical="center"/>
    </xf>
    <xf numFmtId="0" fontId="15" fillId="2" borderId="6" xfId="0" applyNumberFormat="1" applyFont="1" applyFill="1" applyBorder="1" applyAlignment="1">
      <alignment vertical="center"/>
    </xf>
    <xf numFmtId="0" fontId="16" fillId="0" borderId="11" xfId="0" applyFont="1" applyFill="1" applyBorder="1" applyAlignment="1"/>
    <xf numFmtId="0" fontId="0" fillId="0" borderId="0" xfId="0" applyAlignment="1">
      <alignment horizontal="center"/>
    </xf>
    <xf numFmtId="0" fontId="0" fillId="0" borderId="0" xfId="0" applyFont="1" applyFill="1" applyBorder="1" applyAlignment="1">
      <alignment horizontal="center" vertical="center"/>
    </xf>
  </cellXfs>
  <cellStyles count="7">
    <cellStyle name="Month" xfId="6"/>
    <cellStyle name="Normal" xfId="0" builtinId="0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s" xfId="5"/>
  </cellStyles>
  <dxfs count="12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otted">
          <color theme="0" tint="-0.34998626667073579"/>
        </right>
        <top/>
        <bottom style="medium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166" formatCode="0_);\-0_)"/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499984740745262"/>
        <name val="Franklin Gothic Medium"/>
        <scheme val="minor"/>
      </font>
      <alignment horizontal="left" vertical="center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dotted">
          <color theme="0" tint="-0.34998626667073579"/>
        </right>
        <top/>
        <bottom style="medium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</dxf>
    <dxf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3" formatCode="#,##0"/>
      <fill>
        <patternFill patternType="none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6" formatCode="0_);\-0_)"/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6795556505021"/>
        <name val="Franklin Gothic Medium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theme="1" tint="0.499984740745262"/>
        <name val="Franklin Gothic Medium"/>
        <scheme val="minor"/>
      </font>
      <alignment horizontal="left" vertical="center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border diagonalUp="0" diagonalDown="0" outline="0">
        <left style="dotted">
          <color theme="0" tint="-0.34998626667073579"/>
        </left>
        <right style="dotted">
          <color theme="0" tint="-0.34998626667073579"/>
        </right>
        <top/>
        <bottom style="medium">
          <color theme="4" tint="0.39994506668294322"/>
        </bottom>
      </border>
    </dxf>
    <dxf>
      <numFmt numFmtId="0" formatCode="General"/>
    </dxf>
    <dxf>
      <numFmt numFmtId="166" formatCode="0_);\-0_)"/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166" formatCode="0_);\-0_)"/>
      <fill>
        <patternFill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numFmt numFmtId="166" formatCode="0_);\-0_)"/>
      <alignment horizontal="right" vertical="center" textRotation="0" wrapText="0" indent="0" justifyLastLine="0" shrinkToFit="0" readingOrder="0"/>
    </dxf>
    <dxf>
      <numFmt numFmtId="0" formatCode="General"/>
    </dxf>
    <dxf>
      <alignment horizontal="right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/>
        <bottom style="thick">
          <color theme="0"/>
        </bottom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Franklin Gothic Medium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499984740745262"/>
        <name val="Franklin Gothic Medium"/>
        <scheme val="minor"/>
      </font>
      <numFmt numFmtId="166" formatCode="0_);\-0_)"/>
      <alignment horizontal="left" vertical="center" textRotation="0" wrapText="0" indent="1" justifyLastLine="0" shrinkToFit="0" readingOrder="0"/>
    </dxf>
    <dxf>
      <alignment horizontal="left" vertical="bottom" textRotation="0" wrapText="0" indent="1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  <border>
        <vertical/>
        <horizontal/>
      </border>
    </dxf>
    <dxf>
      <font>
        <color theme="1" tint="0.14996795556505021"/>
      </font>
    </dxf>
    <dxf>
      <border diagonalUp="0" diagonalDown="0">
        <left style="dotted">
          <color theme="0" tint="-0.34998626667073579"/>
        </left>
        <right style="dotted">
          <color theme="0" tint="-0.34998626667073579"/>
        </right>
        <top style="thin">
          <color theme="0" tint="-0.34998626667073579"/>
        </top>
        <bottom style="dotted">
          <color theme="0" tint="-0.34998626667073579"/>
        </bottom>
        <vertical/>
        <horizontal/>
      </border>
    </dxf>
    <dxf>
      <font>
        <b val="0"/>
        <i val="0"/>
        <color theme="1" tint="0.34998626667073579"/>
      </font>
    </dxf>
    <dxf>
      <font>
        <b val="0"/>
        <i val="0"/>
        <color theme="1" tint="0.14996795556505021"/>
      </font>
      <fill>
        <patternFill patternType="solid">
          <bgColor theme="4" tint="0.79998168889431442"/>
        </patternFill>
      </fill>
      <border>
        <top/>
        <bottom style="medium">
          <color theme="4" tint="0.39994506668294322"/>
        </bottom>
      </border>
    </dxf>
    <dxf>
      <font>
        <b val="0"/>
        <i val="0"/>
        <color theme="1" tint="0.14996795556505021"/>
      </font>
    </dxf>
    <dxf>
      <font>
        <color theme="1" tint="0.499984740745262"/>
      </font>
      <border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dotted">
          <color theme="0" tint="-0.34998626667073579"/>
        </vertical>
        <horizontal style="thin">
          <color theme="0" tint="-0.34998626667073579"/>
        </horizontal>
      </border>
    </dxf>
  </dxfs>
  <tableStyles count="1" defaultTableStyle="Cash Receipts" defaultPivotStyle="PivotStyleLight16">
    <tableStyle name="Cash Receipts" pivot="0" count="7">
      <tableStyleElement type="wholeTable" dxfId="121"/>
      <tableStyleElement type="headerRow" dxfId="120"/>
      <tableStyleElement type="totalRow" dxfId="119"/>
      <tableStyleElement type="firstColumn" dxfId="118"/>
      <tableStyleElement type="lastColumn" dxfId="117"/>
      <tableStyleElement type="firstTotalCell" dxfId="116"/>
      <tableStyleElement type="lastTotalCell" dxfId="1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Recibos" displayName="Recibos" ref="B9:S12" headerRowCount="0" totalsRowCount="1">
  <tableColumns count="18">
    <tableColumn id="1" name="Itens" totalsRowLabel="Total" headerRowDxfId="111" dataDxfId="110" totalsRowDxfId="109"/>
    <tableColumn id="17" name="Coluna2" headerRowDxfId="108" dataDxfId="107" totalsRowDxfId="106"/>
    <tableColumn id="2" name="Período 0" totalsRowFunction="sum" dataDxfId="105" totalsRowDxfId="104"/>
    <tableColumn id="3" name="Período 1" totalsRowFunction="sum" dataDxfId="103" totalsRowDxfId="102"/>
    <tableColumn id="4" name="Período 2" totalsRowFunction="sum" dataDxfId="101" totalsRowDxfId="100"/>
    <tableColumn id="5" name="Período 3" totalsRowFunction="sum" dataDxfId="99" totalsRowDxfId="98"/>
    <tableColumn id="6" name="Período 4" totalsRowFunction="sum" dataDxfId="97" totalsRowDxfId="96"/>
    <tableColumn id="7" name="Período 5" totalsRowFunction="sum" dataDxfId="95" totalsRowDxfId="94"/>
    <tableColumn id="8" name="Período 6" totalsRowFunction="sum" dataDxfId="93" totalsRowDxfId="92"/>
    <tableColumn id="9" name="Período 7" totalsRowFunction="sum" dataDxfId="91" totalsRowDxfId="90"/>
    <tableColumn id="10" name="Período 8" totalsRowFunction="sum" dataDxfId="89" totalsRowDxfId="88"/>
    <tableColumn id="11" name="Período 9" totalsRowFunction="sum" dataDxfId="87" totalsRowDxfId="86"/>
    <tableColumn id="12" name="Período 10" totalsRowFunction="sum" dataDxfId="85" totalsRowDxfId="84"/>
    <tableColumn id="13" name="Período 11" totalsRowFunction="sum" dataDxfId="83" totalsRowDxfId="82"/>
    <tableColumn id="14" name="Período 12" totalsRowFunction="sum" dataDxfId="81" totalsRowDxfId="80"/>
    <tableColumn id="18" name="Coluna3" dataDxfId="79" totalsRowDxfId="78"/>
    <tableColumn id="15" name="Total" totalsRowFunction="sum" dataDxfId="77" totalsRowDxfId="76">
      <calculatedColumnFormula>SUM(Recibos[[#This Row],[Período 0]:[Período 12]])</calculatedColumnFormula>
    </tableColumn>
    <tableColumn id="16" name="Coluna1" totalsRowDxfId="75"/>
  </tableColumns>
  <tableStyleInfo name="Cash Receipts" showFirstColumn="1" showLastColumn="1" showRowStripes="0" showColumnStripes="0"/>
  <extLst>
    <ext xmlns:x14="http://schemas.microsoft.com/office/spreadsheetml/2009/9/main" uri="{504A1905-F514-4f6f-8877-14C23A59335A}">
      <x14:table altText="Recibos de Caixa" altTextSummary="Recibos de caixa referentes a 12 meses, começando com o primeiro mês do ano fiscal, junto com um total geral calculado."/>
    </ext>
  </extLst>
</table>
</file>

<file path=xl/tables/table2.xml><?xml version="1.0" encoding="utf-8"?>
<table xmlns="http://schemas.openxmlformats.org/spreadsheetml/2006/main" id="2" name="DinheiroPago" displayName="DinheiroPago" ref="B16:S37" headerRowCount="0" totalsRowCount="1">
  <tableColumns count="18">
    <tableColumn id="1" name="Itens" totalsRowLabel="Total" headerRowDxfId="74" dataDxfId="73" totalsRowDxfId="72"/>
    <tableColumn id="17" name="Coluna2" headerRowDxfId="71" dataDxfId="70" totalsRowDxfId="69"/>
    <tableColumn id="2" name="Período 0" totalsRowFunction="sum" dataDxfId="68" totalsRowDxfId="67"/>
    <tableColumn id="3" name="Período 1" totalsRowFunction="sum" dataDxfId="66" totalsRowDxfId="65"/>
    <tableColumn id="4" name="Período 2" totalsRowFunction="sum" dataDxfId="64" totalsRowDxfId="63"/>
    <tableColumn id="5" name="Período 3" totalsRowFunction="sum" dataDxfId="62" totalsRowDxfId="61"/>
    <tableColumn id="6" name="Período 4" totalsRowFunction="sum" dataDxfId="60" totalsRowDxfId="59"/>
    <tableColumn id="7" name="Período 5" totalsRowFunction="sum" dataDxfId="58" totalsRowDxfId="57"/>
    <tableColumn id="8" name="Período 6" totalsRowFunction="sum" dataDxfId="56" totalsRowDxfId="55"/>
    <tableColumn id="9" name="Período 7" totalsRowFunction="sum" dataDxfId="54" totalsRowDxfId="53"/>
    <tableColumn id="10" name="Período 8" totalsRowFunction="sum" dataDxfId="52" totalsRowDxfId="51"/>
    <tableColumn id="11" name="Período 9" totalsRowFunction="sum" dataDxfId="50" totalsRowDxfId="49"/>
    <tableColumn id="12" name="Período 10" totalsRowFunction="sum" dataDxfId="48" totalsRowDxfId="47"/>
    <tableColumn id="13" name="Período 11" totalsRowFunction="sum" dataDxfId="46" totalsRowDxfId="45"/>
    <tableColumn id="14" name="Período 12" totalsRowFunction="sum" dataDxfId="44" totalsRowDxfId="43"/>
    <tableColumn id="18" name="Coluna3" dataDxfId="42" totalsRowDxfId="41"/>
    <tableColumn id="15" name="Total" totalsRowFunction="sum" dataDxfId="40" totalsRowDxfId="39">
      <calculatedColumnFormula>SUM(DinheiroPago[[#This Row],[Período 0]:[Período 12]])</calculatedColumnFormula>
    </tableColumn>
    <tableColumn id="16" name="Coluna1" dataDxfId="38" totalsRowDxfId="37"/>
  </tableColumns>
  <tableStyleInfo name="Cash Receipts" showFirstColumn="1" showLastColumn="1" showRowStripes="0" showColumnStripes="0"/>
  <extLst>
    <ext xmlns:x14="http://schemas.microsoft.com/office/spreadsheetml/2009/9/main" uri="{504A1905-F514-4f6f-8877-14C23A59335A}">
      <x14:table altText="Caixa Recolhido" altTextSummary="Recolhimentos de caixa referentes a 12 meses, começando com o primeiro mês do ano fiscal, junto com um total geral calculado."/>
    </ext>
  </extLst>
</table>
</file>

<file path=xl/tables/table3.xml><?xml version="1.0" encoding="utf-8"?>
<table xmlns="http://schemas.openxmlformats.org/spreadsheetml/2006/main" id="3" name="DinheiroPago2" displayName="DinheiroPago2" ref="B40:S45" headerRowCount="0" totalsRowCount="1">
  <tableColumns count="18">
    <tableColumn id="1" name="Itens" totalsRowLabel="Total" headerRowDxfId="36" dataDxfId="35" totalsRowDxfId="34"/>
    <tableColumn id="17" name="Coluna2" headerRowDxfId="33" dataDxfId="32" totalsRowDxfId="31"/>
    <tableColumn id="2" name="Período 0" totalsRowFunction="sum" dataDxfId="30" totalsRowDxfId="29"/>
    <tableColumn id="3" name="Período 1" totalsRowFunction="sum" dataDxfId="28" totalsRowDxfId="27"/>
    <tableColumn id="4" name="Período 2" totalsRowFunction="sum" dataDxfId="26" totalsRowDxfId="25"/>
    <tableColumn id="5" name="Período 3" totalsRowFunction="sum" dataDxfId="24" totalsRowDxfId="23"/>
    <tableColumn id="6" name="Período 4" totalsRowFunction="sum" dataDxfId="22" totalsRowDxfId="21"/>
    <tableColumn id="7" name="Período 5" totalsRowFunction="sum" dataDxfId="20" totalsRowDxfId="19"/>
    <tableColumn id="8" name="Período 6" totalsRowFunction="sum" dataDxfId="18" totalsRowDxfId="17"/>
    <tableColumn id="9" name="Período 7" totalsRowFunction="sum" dataDxfId="16" totalsRowDxfId="15"/>
    <tableColumn id="10" name="Período 8" totalsRowFunction="sum" dataDxfId="14" totalsRowDxfId="13"/>
    <tableColumn id="11" name="Período 9" totalsRowFunction="sum" dataDxfId="12" totalsRowDxfId="11"/>
    <tableColumn id="12" name="Período 10" totalsRowFunction="sum" dataDxfId="10" totalsRowDxfId="9"/>
    <tableColumn id="13" name="Período 11" totalsRowFunction="sum" dataDxfId="8" totalsRowDxfId="7"/>
    <tableColumn id="14" name="Período 12" totalsRowFunction="sum" dataDxfId="6" totalsRowDxfId="5"/>
    <tableColumn id="18" name="Coluna3" dataDxfId="4" totalsRowDxfId="3"/>
    <tableColumn id="15" name="Total" totalsRowDxfId="2">
      <calculatedColumnFormula>SUM(DinheiroPago2[[#This Row],[Período 0]:[Período 12]])</calculatedColumnFormula>
    </tableColumn>
    <tableColumn id="16" name="Coluna1" dataDxfId="1" totalsRowDxfId="0"/>
  </tableColumns>
  <tableStyleInfo name="Cash Receipts" showFirstColumn="1" showLastColumn="1" showRowStripes="0" showColumnStripes="0"/>
  <extLst>
    <ext xmlns:x14="http://schemas.microsoft.com/office/spreadsheetml/2009/9/main" uri="{504A1905-F514-4f6f-8877-14C23A59335A}">
      <x14:table altText="Caixa Recolhido (Não P&amp;L)" altTextSummary="Recibos de caixa (Não P&amp;L) referentes a 12 meses, começando com o primeiro mês do ano fiscal, junto com um total geral calculado."/>
    </ext>
  </extLst>
</table>
</file>

<file path=xl/theme/theme1.xml><?xml version="1.0" encoding="utf-8"?>
<a:theme xmlns:a="http://schemas.openxmlformats.org/drawingml/2006/main" name="Office Theme">
  <a:themeElements>
    <a:clrScheme name="Cash Flow Statement">
      <a:dk1>
        <a:sysClr val="windowText" lastClr="000000"/>
      </a:dk1>
      <a:lt1>
        <a:sysClr val="window" lastClr="FFFFFF"/>
      </a:lt1>
      <a:dk2>
        <a:srgbClr val="313F55"/>
      </a:dk2>
      <a:lt2>
        <a:srgbClr val="F2F2F2"/>
      </a:lt2>
      <a:accent1>
        <a:srgbClr val="308DA2"/>
      </a:accent1>
      <a:accent2>
        <a:srgbClr val="EB7A20"/>
      </a:accent2>
      <a:accent3>
        <a:srgbClr val="009D00"/>
      </a:accent3>
      <a:accent4>
        <a:srgbClr val="9D4CA4"/>
      </a:accent4>
      <a:accent5>
        <a:srgbClr val="FFC000"/>
      </a:accent5>
      <a:accent6>
        <a:srgbClr val="DC3220"/>
      </a:accent6>
      <a:hlink>
        <a:srgbClr val="1AA2B5"/>
      </a:hlink>
      <a:folHlink>
        <a:srgbClr val="9D4CA4"/>
      </a:folHlink>
    </a:clrScheme>
    <a:fontScheme name="Cash Flow Statement">
      <a:majorFont>
        <a:latin typeface="Franklin Gothic Medium"/>
        <a:ea typeface=""/>
        <a:cs typeface=""/>
      </a:majorFont>
      <a:minorFont>
        <a:latin typeface="Franklin Gothic Medium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S48"/>
  <sheetViews>
    <sheetView showGridLines="0" tabSelected="1" zoomScaleNormal="100" workbookViewId="0">
      <pane ySplit="4" topLeftCell="A5" activePane="bottomLeft" state="frozen"/>
      <selection pane="bottomLeft"/>
    </sheetView>
  </sheetViews>
  <sheetFormatPr defaultRowHeight="17.25" customHeight="1" x14ac:dyDescent="0.25"/>
  <cols>
    <col min="1" max="1" width="2.25" customWidth="1"/>
    <col min="2" max="2" width="62.5" bestFit="1" customWidth="1"/>
    <col min="3" max="3" width="2.875" customWidth="1"/>
    <col min="4" max="4" width="9.375" customWidth="1"/>
    <col min="5" max="16" width="9.625" customWidth="1"/>
    <col min="17" max="17" width="2.875" customWidth="1"/>
  </cols>
  <sheetData>
    <row r="1" spans="2:19" ht="42" customHeight="1" thickBot="1" x14ac:dyDescent="0.5">
      <c r="B1" s="7" t="s">
        <v>36</v>
      </c>
      <c r="C1" s="8"/>
      <c r="D1" s="8"/>
      <c r="E1" s="9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2:19" ht="22.5" customHeight="1" thickTop="1" x14ac:dyDescent="0.25">
      <c r="Q2" s="29"/>
    </row>
    <row r="3" spans="2:19" ht="25.5" customHeight="1" x14ac:dyDescent="0.35">
      <c r="B3" s="41" t="s">
        <v>33</v>
      </c>
      <c r="D3" s="14" t="s">
        <v>37</v>
      </c>
      <c r="E3" s="39" t="str">
        <f>UPPER(TEXT(DatadeIníciodoAnoFiscal,"MMM"))</f>
        <v>JAN</v>
      </c>
      <c r="F3" s="39" t="str">
        <f>UPPER(TEXT(EOMONTH(DatadeIníciodoAnoFiscal,1),"MMM"))</f>
        <v>FEV</v>
      </c>
      <c r="G3" s="39" t="str">
        <f>UPPER(TEXT(EOMONTH(DatadeIníciodoAnoFiscal,2),"MMM"))</f>
        <v>MAR</v>
      </c>
      <c r="H3" s="39" t="str">
        <f>UPPER(TEXT(EOMONTH(DatadeIníciodoAnoFiscal,3),"MMM"))</f>
        <v>ABR</v>
      </c>
      <c r="I3" s="39" t="str">
        <f>UPPER(TEXT(EOMONTH(DatadeIníciodoAnoFiscal,4),"MMM"))</f>
        <v>MAI</v>
      </c>
      <c r="J3" s="39" t="str">
        <f>UPPER(TEXT(EOMONTH(DatadeIníciodoAnoFiscal,5),"MMM"))</f>
        <v>JUN</v>
      </c>
      <c r="K3" s="39" t="str">
        <f>UPPER(TEXT(EOMONTH(DatadeIníciodoAnoFiscal,6),"MMM"))</f>
        <v>JUL</v>
      </c>
      <c r="L3" s="39" t="str">
        <f>UPPER(TEXT(EOMONTH(DatadeIníciodoAnoFiscal,7),"MMM"))</f>
        <v>AGO</v>
      </c>
      <c r="M3" s="39" t="str">
        <f>UPPER(TEXT(EOMONTH(DatadeIníciodoAnoFiscal,8),"MMM"))</f>
        <v>SET</v>
      </c>
      <c r="N3" s="39" t="str">
        <f>UPPER(TEXT(EOMONTH(DatadeIníciodoAnoFiscal,9),"MMM"))</f>
        <v>OUT</v>
      </c>
      <c r="O3" s="39" t="str">
        <f>UPPER(TEXT(EOMONTH(DatadeIníciodoAnoFiscal,10),"MMM"))</f>
        <v>NOV</v>
      </c>
      <c r="P3" s="39" t="str">
        <f>UPPER(TEXT(EOMONTH(DatadeIníciodoAnoFiscal,11),"MMM"))</f>
        <v>DEZ</v>
      </c>
      <c r="Q3" s="21"/>
      <c r="R3" s="15" t="s">
        <v>28</v>
      </c>
      <c r="S3" s="2"/>
    </row>
    <row r="4" spans="2:19" ht="12.75" customHeight="1" thickBot="1" x14ac:dyDescent="0.3">
      <c r="B4" s="3">
        <v>40913</v>
      </c>
      <c r="D4" s="16" t="s">
        <v>34</v>
      </c>
      <c r="E4" s="35">
        <f>DatadeIníciodoAnoFiscal</f>
        <v>40913</v>
      </c>
      <c r="F4" s="35">
        <f t="shared" ref="F4" si="0">EOMONTH(E4,0)+DAY(DatadeIníciodoAnoFiscal)</f>
        <v>40944</v>
      </c>
      <c r="G4" s="35">
        <f t="shared" ref="G4" si="1">EOMONTH(F4,0)+DAY(DatadeIníciodoAnoFiscal)</f>
        <v>40973</v>
      </c>
      <c r="H4" s="35">
        <f t="shared" ref="H4" si="2">EOMONTH(G4,0)+DAY(DatadeIníciodoAnoFiscal)</f>
        <v>41004</v>
      </c>
      <c r="I4" s="35">
        <f t="shared" ref="I4" si="3">EOMONTH(H4,0)+DAY(DatadeIníciodoAnoFiscal)</f>
        <v>41034</v>
      </c>
      <c r="J4" s="35">
        <f t="shared" ref="J4" si="4">EOMONTH(I4,0)+DAY(DatadeIníciodoAnoFiscal)</f>
        <v>41065</v>
      </c>
      <c r="K4" s="35">
        <f t="shared" ref="K4" si="5">EOMONTH(J4,0)+DAY(DatadeIníciodoAnoFiscal)</f>
        <v>41095</v>
      </c>
      <c r="L4" s="35">
        <f t="shared" ref="L4" si="6">EOMONTH(K4,0)+DAY(DatadeIníciodoAnoFiscal)</f>
        <v>41126</v>
      </c>
      <c r="M4" s="35">
        <f t="shared" ref="M4" si="7">EOMONTH(L4,0)+DAY(DatadeIníciodoAnoFiscal)</f>
        <v>41157</v>
      </c>
      <c r="N4" s="35">
        <f t="shared" ref="N4" si="8">EOMONTH(M4,0)+DAY(DatadeIníciodoAnoFiscal)</f>
        <v>41187</v>
      </c>
      <c r="O4" s="35">
        <f t="shared" ref="O4" si="9">EOMONTH(N4,0)+DAY(DatadeIníciodoAnoFiscal)</f>
        <v>41218</v>
      </c>
      <c r="P4" s="35">
        <f t="shared" ref="P4" si="10">EOMONTH(O4,0)+DAY(DatadeIníciodoAnoFiscal)</f>
        <v>41248</v>
      </c>
      <c r="Q4" s="22"/>
      <c r="R4" s="14" t="s">
        <v>35</v>
      </c>
      <c r="S4" s="2"/>
    </row>
    <row r="5" spans="2:19" ht="17.25" customHeight="1" thickTop="1" x14ac:dyDescent="0.25">
      <c r="B5" s="3"/>
      <c r="D5" s="4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23"/>
      <c r="R5" s="6"/>
      <c r="S5" s="2"/>
    </row>
    <row r="6" spans="2:19" ht="17.25" customHeight="1" thickBot="1" x14ac:dyDescent="0.3">
      <c r="B6" s="37" t="s">
        <v>0</v>
      </c>
      <c r="D6" s="38">
        <v>100</v>
      </c>
      <c r="E6" s="38">
        <f>D48</f>
        <v>100</v>
      </c>
      <c r="F6" s="38">
        <f t="shared" ref="F6:P6" si="11">E48</f>
        <v>-125</v>
      </c>
      <c r="G6" s="38">
        <f t="shared" si="11"/>
        <v>45</v>
      </c>
      <c r="H6" s="38">
        <f t="shared" si="11"/>
        <v>-1</v>
      </c>
      <c r="I6" s="38">
        <f t="shared" si="11"/>
        <v>224</v>
      </c>
      <c r="J6" s="38">
        <f t="shared" si="11"/>
        <v>269</v>
      </c>
      <c r="K6" s="38">
        <f t="shared" si="11"/>
        <v>269</v>
      </c>
      <c r="L6" s="38">
        <f t="shared" si="11"/>
        <v>269</v>
      </c>
      <c r="M6" s="38">
        <f t="shared" si="11"/>
        <v>269</v>
      </c>
      <c r="N6" s="38">
        <f t="shared" si="11"/>
        <v>269</v>
      </c>
      <c r="O6" s="38">
        <f t="shared" si="11"/>
        <v>269</v>
      </c>
      <c r="P6" s="38">
        <f t="shared" si="11"/>
        <v>269</v>
      </c>
      <c r="Q6" s="24"/>
      <c r="R6" s="38">
        <f>P6</f>
        <v>269</v>
      </c>
      <c r="S6" s="34"/>
    </row>
    <row r="7" spans="2:19" ht="17.25" customHeight="1" x14ac:dyDescent="0.25">
      <c r="Q7" s="19"/>
    </row>
    <row r="8" spans="2:19" ht="17.25" customHeight="1" x14ac:dyDescent="0.25">
      <c r="B8" s="30" t="s">
        <v>29</v>
      </c>
      <c r="Q8" s="19"/>
    </row>
    <row r="9" spans="2:19" ht="17.25" customHeight="1" x14ac:dyDescent="0.25">
      <c r="B9" s="44" t="s">
        <v>1</v>
      </c>
      <c r="C9" s="19"/>
      <c r="D9" s="42"/>
      <c r="E9" s="42">
        <v>125</v>
      </c>
      <c r="F9" s="42">
        <v>120</v>
      </c>
      <c r="G9" s="42">
        <v>130</v>
      </c>
      <c r="H9" s="42">
        <v>100</v>
      </c>
      <c r="I9" s="42"/>
      <c r="J9" s="42"/>
      <c r="K9" s="42"/>
      <c r="L9" s="42"/>
      <c r="M9" s="42"/>
      <c r="N9" s="42"/>
      <c r="O9" s="42"/>
      <c r="P9" s="42"/>
      <c r="Q9" s="25"/>
      <c r="R9" s="10">
        <f>SUM(Recibos[[#This Row],[Período 0]:[Período 12]])</f>
        <v>475</v>
      </c>
    </row>
    <row r="10" spans="2:19" ht="17.25" customHeight="1" x14ac:dyDescent="0.25">
      <c r="B10" s="44" t="s">
        <v>2</v>
      </c>
      <c r="C10" s="19"/>
      <c r="D10" s="42"/>
      <c r="E10" s="42"/>
      <c r="F10" s="42"/>
      <c r="G10" s="42"/>
      <c r="H10" s="42">
        <v>75</v>
      </c>
      <c r="I10" s="42">
        <v>45</v>
      </c>
      <c r="J10" s="42"/>
      <c r="K10" s="42"/>
      <c r="L10" s="42"/>
      <c r="M10" s="42"/>
      <c r="N10" s="42"/>
      <c r="O10" s="42"/>
      <c r="P10" s="42"/>
      <c r="Q10" s="25"/>
      <c r="R10" s="10">
        <f>SUM(Recibos[[#This Row],[Período 0]:[Período 12]])</f>
        <v>120</v>
      </c>
    </row>
    <row r="11" spans="2:19" ht="17.25" customHeight="1" x14ac:dyDescent="0.25">
      <c r="B11" s="44" t="s">
        <v>3</v>
      </c>
      <c r="C11" s="20"/>
      <c r="D11" s="42"/>
      <c r="E11" s="42">
        <v>50</v>
      </c>
      <c r="F11" s="42">
        <v>50</v>
      </c>
      <c r="G11" s="42">
        <v>50</v>
      </c>
      <c r="H11" s="42">
        <v>50</v>
      </c>
      <c r="I11" s="42"/>
      <c r="J11" s="42"/>
      <c r="K11" s="42"/>
      <c r="L11" s="42"/>
      <c r="M11" s="42"/>
      <c r="N11" s="42"/>
      <c r="O11" s="42"/>
      <c r="P11" s="42"/>
      <c r="Q11" s="25"/>
      <c r="R11" s="10">
        <f>SUM(Recibos[[#This Row],[Período 0]:[Período 12]])</f>
        <v>200</v>
      </c>
    </row>
    <row r="12" spans="2:19" ht="17.25" customHeight="1" thickBot="1" x14ac:dyDescent="0.3">
      <c r="B12" s="46" t="s">
        <v>28</v>
      </c>
      <c r="C12" s="18"/>
      <c r="D12" s="47">
        <f>SUBTOTAL(109,Recibos[Período 0])</f>
        <v>0</v>
      </c>
      <c r="E12" s="47">
        <f>SUBTOTAL(109,Recibos[Período 1])</f>
        <v>175</v>
      </c>
      <c r="F12" s="47">
        <f>SUBTOTAL(109,Recibos[Período 2])</f>
        <v>170</v>
      </c>
      <c r="G12" s="47">
        <f>SUBTOTAL(109,Recibos[Período 3])</f>
        <v>180</v>
      </c>
      <c r="H12" s="47">
        <f>SUBTOTAL(109,Recibos[Período 4])</f>
        <v>225</v>
      </c>
      <c r="I12" s="47">
        <f>SUBTOTAL(109,Recibos[Período 5])</f>
        <v>45</v>
      </c>
      <c r="J12" s="47">
        <f>SUBTOTAL(109,Recibos[Período 6])</f>
        <v>0</v>
      </c>
      <c r="K12" s="47">
        <f>SUBTOTAL(109,Recibos[Período 7])</f>
        <v>0</v>
      </c>
      <c r="L12" s="47">
        <f>SUBTOTAL(109,Recibos[Período 8])</f>
        <v>0</v>
      </c>
      <c r="M12" s="47">
        <f>SUBTOTAL(109,Recibos[Período 9])</f>
        <v>0</v>
      </c>
      <c r="N12" s="47">
        <f>SUBTOTAL(109,Recibos[Período 10])</f>
        <v>0</v>
      </c>
      <c r="O12" s="47">
        <f>SUBTOTAL(109,Recibos[Período 11])</f>
        <v>0</v>
      </c>
      <c r="P12" s="47">
        <f>SUBTOTAL(109,Recibos[Período 12])</f>
        <v>0</v>
      </c>
      <c r="Q12" s="48"/>
      <c r="R12" s="47">
        <f>SUBTOTAL(109,Recibos[Total])</f>
        <v>795</v>
      </c>
      <c r="S12" s="33"/>
    </row>
    <row r="13" spans="2:19" ht="17.25" customHeight="1" thickTop="1" thickBot="1" x14ac:dyDescent="0.3">
      <c r="B13" s="40" t="s">
        <v>4</v>
      </c>
      <c r="C13" s="17"/>
      <c r="D13" s="32">
        <f>D6+SUM(Recibos[Período 0])</f>
        <v>100</v>
      </c>
      <c r="E13" s="32">
        <f>E6+SUM(Recibos[Período 1])</f>
        <v>275</v>
      </c>
      <c r="F13" s="32">
        <f>F6+SUM(Recibos[Período 2])</f>
        <v>45</v>
      </c>
      <c r="G13" s="32">
        <f>G6+SUM(Recibos[Período 3])</f>
        <v>225</v>
      </c>
      <c r="H13" s="32">
        <f>H6+SUM(Recibos[Período 4])</f>
        <v>224</v>
      </c>
      <c r="I13" s="32">
        <f>I6+SUM(Recibos[Período 5])</f>
        <v>269</v>
      </c>
      <c r="J13" s="32">
        <f>J6+SUM(Recibos[Período 6])</f>
        <v>269</v>
      </c>
      <c r="K13" s="32">
        <f>K6+SUM(Recibos[Período 7])</f>
        <v>269</v>
      </c>
      <c r="L13" s="32">
        <f>L6+SUM(Recibos[Período 8])</f>
        <v>269</v>
      </c>
      <c r="M13" s="32">
        <f>M6+SUM(Recibos[Período 9])</f>
        <v>269</v>
      </c>
      <c r="N13" s="32">
        <f>N6+SUM(Recibos[Período 10])</f>
        <v>269</v>
      </c>
      <c r="O13" s="32">
        <f>O6+SUM(Recibos[Período 11])</f>
        <v>269</v>
      </c>
      <c r="P13" s="32">
        <f>P6+SUM(Recibos[Período 12])</f>
        <v>269</v>
      </c>
      <c r="Q13" s="26"/>
      <c r="R13" s="32">
        <f>R6+SUM(Recibos[Total])</f>
        <v>1064</v>
      </c>
      <c r="S13" s="33"/>
    </row>
    <row r="14" spans="2:19" ht="17.25" customHeight="1" x14ac:dyDescent="0.25"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</row>
    <row r="15" spans="2:19" ht="17.25" customHeight="1" x14ac:dyDescent="0.3">
      <c r="B15" s="11" t="s">
        <v>30</v>
      </c>
      <c r="C15" s="19"/>
      <c r="Q15" s="19"/>
    </row>
    <row r="16" spans="2:19" ht="17.25" customHeight="1" x14ac:dyDescent="0.25">
      <c r="B16" s="45" t="s">
        <v>5</v>
      </c>
      <c r="C16" s="19"/>
      <c r="D16" s="43"/>
      <c r="E16" s="43">
        <v>400</v>
      </c>
      <c r="F16" s="43"/>
      <c r="G16" s="43">
        <v>226</v>
      </c>
      <c r="H16" s="43"/>
      <c r="I16" s="43"/>
      <c r="J16" s="43"/>
      <c r="K16" s="43"/>
      <c r="L16" s="43"/>
      <c r="M16" s="43"/>
      <c r="N16" s="43"/>
      <c r="O16" s="43"/>
      <c r="P16" s="43"/>
      <c r="Q16" s="27"/>
      <c r="R16" s="12">
        <f>SUM(DinheiroPago[[#This Row],[Período 0]:[Período 12]])</f>
        <v>626</v>
      </c>
      <c r="S16" s="1"/>
    </row>
    <row r="17" spans="2:19" ht="17.25" customHeight="1" x14ac:dyDescent="0.25">
      <c r="B17" s="45" t="s">
        <v>6</v>
      </c>
      <c r="C17" s="19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27"/>
      <c r="R17" s="12">
        <f>SUM(DinheiroPago[[#This Row],[Período 0]:[Período 12]])</f>
        <v>0</v>
      </c>
      <c r="S17" s="1"/>
    </row>
    <row r="18" spans="2:19" ht="17.25" customHeight="1" x14ac:dyDescent="0.25">
      <c r="B18" s="45" t="s">
        <v>6</v>
      </c>
      <c r="C18" s="19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27"/>
      <c r="R18" s="12">
        <f>SUM(DinheiroPago[[#This Row],[Período 0]:[Período 12]])</f>
        <v>0</v>
      </c>
      <c r="S18" s="1"/>
    </row>
    <row r="19" spans="2:19" ht="17.25" customHeight="1" x14ac:dyDescent="0.25">
      <c r="B19" s="45" t="s">
        <v>7</v>
      </c>
      <c r="C19" s="19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27"/>
      <c r="R19" s="12">
        <f>SUM(DinheiroPago[[#This Row],[Período 0]:[Período 12]])</f>
        <v>0</v>
      </c>
      <c r="S19" s="1"/>
    </row>
    <row r="20" spans="2:19" ht="17.25" customHeight="1" x14ac:dyDescent="0.25">
      <c r="B20" s="45" t="s">
        <v>8</v>
      </c>
      <c r="C20" s="19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27"/>
      <c r="R20" s="12">
        <f>SUM(DinheiroPago[[#This Row],[Período 0]:[Período 12]])</f>
        <v>0</v>
      </c>
      <c r="S20" s="1"/>
    </row>
    <row r="21" spans="2:19" ht="17.25" customHeight="1" x14ac:dyDescent="0.25">
      <c r="B21" s="45" t="s">
        <v>9</v>
      </c>
      <c r="C21" s="19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27"/>
      <c r="R21" s="12">
        <f>SUM(DinheiroPago[[#This Row],[Período 0]:[Período 12]])</f>
        <v>0</v>
      </c>
      <c r="S21" s="1"/>
    </row>
    <row r="22" spans="2:19" ht="17.25" customHeight="1" x14ac:dyDescent="0.25">
      <c r="B22" s="45" t="s">
        <v>10</v>
      </c>
      <c r="C22" s="19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27"/>
      <c r="R22" s="12">
        <f>SUM(DinheiroPago[[#This Row],[Período 0]:[Período 12]])</f>
        <v>0</v>
      </c>
      <c r="S22" s="1"/>
    </row>
    <row r="23" spans="2:19" ht="17.25" customHeight="1" x14ac:dyDescent="0.25">
      <c r="B23" s="45" t="s">
        <v>11</v>
      </c>
      <c r="C23" s="19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27"/>
      <c r="R23" s="12">
        <f>SUM(DinheiroPago[[#This Row],[Período 0]:[Período 12]])</f>
        <v>0</v>
      </c>
      <c r="S23" s="1"/>
    </row>
    <row r="24" spans="2:19" ht="17.25" customHeight="1" x14ac:dyDescent="0.25">
      <c r="B24" s="45" t="s">
        <v>12</v>
      </c>
      <c r="C24" s="19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27"/>
      <c r="R24" s="12">
        <f>SUM(DinheiroPago[[#This Row],[Período 0]:[Período 12]])</f>
        <v>0</v>
      </c>
      <c r="S24" s="1"/>
    </row>
    <row r="25" spans="2:19" ht="17.25" customHeight="1" x14ac:dyDescent="0.25">
      <c r="B25" s="45" t="s">
        <v>13</v>
      </c>
      <c r="C25" s="19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27"/>
      <c r="R25" s="12">
        <f>SUM(DinheiroPago[[#This Row],[Período 0]:[Período 12]])</f>
        <v>0</v>
      </c>
      <c r="S25" s="1"/>
    </row>
    <row r="26" spans="2:19" ht="17.25" customHeight="1" x14ac:dyDescent="0.25">
      <c r="B26" s="45" t="s">
        <v>14</v>
      </c>
      <c r="C26" s="19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27"/>
      <c r="R26" s="12">
        <f>SUM(DinheiroPago[[#This Row],[Período 0]:[Período 12]])</f>
        <v>0</v>
      </c>
      <c r="S26" s="1"/>
    </row>
    <row r="27" spans="2:19" ht="17.25" customHeight="1" x14ac:dyDescent="0.25">
      <c r="B27" s="45" t="s">
        <v>15</v>
      </c>
      <c r="C27" s="19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27"/>
      <c r="R27" s="12">
        <f>SUM(DinheiroPago[[#This Row],[Período 0]:[Período 12]])</f>
        <v>0</v>
      </c>
      <c r="S27" s="1"/>
    </row>
    <row r="28" spans="2:19" ht="17.25" customHeight="1" x14ac:dyDescent="0.25">
      <c r="B28" s="45" t="s">
        <v>16</v>
      </c>
      <c r="C28" s="19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27"/>
      <c r="R28" s="12">
        <f>SUM(DinheiroPago[[#This Row],[Período 0]:[Período 12]])</f>
        <v>0</v>
      </c>
      <c r="S28" s="1"/>
    </row>
    <row r="29" spans="2:19" ht="17.25" customHeight="1" x14ac:dyDescent="0.25">
      <c r="B29" s="45" t="s">
        <v>17</v>
      </c>
      <c r="C29" s="19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27"/>
      <c r="R29" s="12">
        <f>SUM(DinheiroPago[[#This Row],[Período 0]:[Período 12]])</f>
        <v>0</v>
      </c>
      <c r="S29" s="1"/>
    </row>
    <row r="30" spans="2:19" ht="17.25" customHeight="1" x14ac:dyDescent="0.25">
      <c r="B30" s="45" t="s">
        <v>18</v>
      </c>
      <c r="C30" s="19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27"/>
      <c r="R30" s="12">
        <f>SUM(DinheiroPago[[#This Row],[Período 0]:[Período 12]])</f>
        <v>0</v>
      </c>
      <c r="S30" s="1"/>
    </row>
    <row r="31" spans="2:19" ht="17.25" customHeight="1" x14ac:dyDescent="0.25">
      <c r="B31" s="45" t="s">
        <v>19</v>
      </c>
      <c r="C31" s="19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27"/>
      <c r="R31" s="12">
        <f>SUM(DinheiroPago[[#This Row],[Período 0]:[Período 12]])</f>
        <v>0</v>
      </c>
      <c r="S31" s="1"/>
    </row>
    <row r="32" spans="2:19" ht="17.25" customHeight="1" x14ac:dyDescent="0.25">
      <c r="B32" s="45" t="s">
        <v>20</v>
      </c>
      <c r="C32" s="19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27"/>
      <c r="R32" s="12">
        <f>SUM(DinheiroPago[[#This Row],[Período 0]:[Período 12]])</f>
        <v>0</v>
      </c>
      <c r="S32" s="1"/>
    </row>
    <row r="33" spans="2:19" ht="17.25" customHeight="1" x14ac:dyDescent="0.25">
      <c r="B33" s="45" t="s">
        <v>21</v>
      </c>
      <c r="C33" s="19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27"/>
      <c r="R33" s="12">
        <f>SUM(DinheiroPago[[#This Row],[Período 0]:[Período 12]])</f>
        <v>0</v>
      </c>
      <c r="S33" s="1"/>
    </row>
    <row r="34" spans="2:19" ht="17.25" customHeight="1" x14ac:dyDescent="0.25">
      <c r="B34" s="45" t="s">
        <v>22</v>
      </c>
      <c r="C34" s="19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27"/>
      <c r="R34" s="12">
        <f>SUM(DinheiroPago[[#This Row],[Período 0]:[Período 12]])</f>
        <v>0</v>
      </c>
      <c r="S34" s="1"/>
    </row>
    <row r="35" spans="2:19" ht="17.25" customHeight="1" x14ac:dyDescent="0.25">
      <c r="B35" s="45" t="s">
        <v>22</v>
      </c>
      <c r="C35" s="19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27"/>
      <c r="R35" s="12">
        <f>SUM(DinheiroPago[[#This Row],[Período 0]:[Período 12]])</f>
        <v>0</v>
      </c>
      <c r="S35" s="1"/>
    </row>
    <row r="36" spans="2:19" ht="17.25" customHeight="1" x14ac:dyDescent="0.25">
      <c r="B36" s="45" t="s">
        <v>23</v>
      </c>
      <c r="C36" s="19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27"/>
      <c r="R36" s="12">
        <f>SUM(DinheiroPago[[#This Row],[Período 0]:[Período 12]])</f>
        <v>0</v>
      </c>
      <c r="S36" s="1"/>
    </row>
    <row r="37" spans="2:19" ht="17.25" customHeight="1" thickBot="1" x14ac:dyDescent="0.35">
      <c r="B37" s="49" t="s">
        <v>28</v>
      </c>
      <c r="C37" s="19"/>
      <c r="D37" s="50">
        <f>SUBTOTAL(109,DinheiroPago[Período 0])</f>
        <v>0</v>
      </c>
      <c r="E37" s="50">
        <f>SUBTOTAL(109,DinheiroPago[Período 1])</f>
        <v>400</v>
      </c>
      <c r="F37" s="50">
        <f>SUBTOTAL(109,DinheiroPago[Período 2])</f>
        <v>0</v>
      </c>
      <c r="G37" s="50">
        <f>SUBTOTAL(109,DinheiroPago[Período 3])</f>
        <v>226</v>
      </c>
      <c r="H37" s="50">
        <f>SUBTOTAL(109,DinheiroPago[Período 4])</f>
        <v>0</v>
      </c>
      <c r="I37" s="50">
        <f>SUBTOTAL(109,DinheiroPago[Período 5])</f>
        <v>0</v>
      </c>
      <c r="J37" s="50">
        <f>SUBTOTAL(109,DinheiroPago[Período 6])</f>
        <v>0</v>
      </c>
      <c r="K37" s="50">
        <f>SUBTOTAL(109,DinheiroPago[Período 7])</f>
        <v>0</v>
      </c>
      <c r="L37" s="50">
        <f>SUBTOTAL(109,DinheiroPago[Período 8])</f>
        <v>0</v>
      </c>
      <c r="M37" s="50">
        <f>SUBTOTAL(109,DinheiroPago[Período 9])</f>
        <v>0</v>
      </c>
      <c r="N37" s="50">
        <f>SUBTOTAL(109,DinheiroPago[Período 10])</f>
        <v>0</v>
      </c>
      <c r="O37" s="50">
        <f>SUBTOTAL(109,DinheiroPago[Período 11])</f>
        <v>0</v>
      </c>
      <c r="P37" s="50">
        <f>SUBTOTAL(109,DinheiroPago[Período 12])</f>
        <v>0</v>
      </c>
      <c r="Q37" s="51"/>
      <c r="R37" s="50">
        <f>SUBTOTAL(109,DinheiroPago[Total])</f>
        <v>626</v>
      </c>
      <c r="S37" s="53"/>
    </row>
    <row r="38" spans="2:19" ht="17.25" customHeight="1" x14ac:dyDescent="0.25"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</row>
    <row r="39" spans="2:19" ht="17.25" customHeight="1" x14ac:dyDescent="0.3">
      <c r="B39" s="11" t="s">
        <v>31</v>
      </c>
      <c r="C39" s="17"/>
      <c r="Q39" s="19"/>
    </row>
    <row r="40" spans="2:19" ht="17.25" customHeight="1" x14ac:dyDescent="0.25">
      <c r="B40" s="45" t="s">
        <v>24</v>
      </c>
      <c r="C40" s="19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28"/>
      <c r="R40" s="12">
        <f>SUM(DinheiroPago2[[#This Row],[Período 0]:[Período 12]])</f>
        <v>0</v>
      </c>
      <c r="S40" s="1"/>
    </row>
    <row r="41" spans="2:19" ht="17.25" customHeight="1" x14ac:dyDescent="0.25">
      <c r="B41" s="45" t="s">
        <v>25</v>
      </c>
      <c r="C41" s="19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28"/>
      <c r="R41" s="12">
        <f>SUM(DinheiroPago2[[#This Row],[Período 0]:[Período 12]])</f>
        <v>0</v>
      </c>
      <c r="S41" s="1"/>
    </row>
    <row r="42" spans="2:19" ht="17.25" customHeight="1" x14ac:dyDescent="0.25">
      <c r="B42" s="45" t="s">
        <v>26</v>
      </c>
      <c r="C42" s="19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28"/>
      <c r="R42" s="12">
        <f>SUM(DinheiroPago2[[#This Row],[Período 0]:[Período 12]])</f>
        <v>0</v>
      </c>
      <c r="S42" s="1"/>
    </row>
    <row r="43" spans="2:19" ht="17.25" customHeight="1" x14ac:dyDescent="0.25">
      <c r="B43" s="45" t="s">
        <v>38</v>
      </c>
      <c r="C43" s="19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28"/>
      <c r="R43" s="12">
        <f>SUM(DinheiroPago2[[#This Row],[Período 0]:[Período 12]])</f>
        <v>0</v>
      </c>
      <c r="S43" s="1"/>
    </row>
    <row r="44" spans="2:19" ht="17.25" customHeight="1" x14ac:dyDescent="0.25">
      <c r="B44" s="45" t="s">
        <v>39</v>
      </c>
      <c r="C44" s="19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28"/>
      <c r="R44" s="12">
        <f>SUM(DinheiroPago2[[#This Row],[Período 0]:[Período 12]])</f>
        <v>0</v>
      </c>
      <c r="S44" s="1"/>
    </row>
    <row r="45" spans="2:19" s="13" customFormat="1" ht="17.25" customHeight="1" thickBot="1" x14ac:dyDescent="0.35">
      <c r="B45" s="49" t="s">
        <v>28</v>
      </c>
      <c r="C45" s="19"/>
      <c r="D45" s="50">
        <f>SUBTOTAL(109,DinheiroPago2[Período 0])</f>
        <v>0</v>
      </c>
      <c r="E45" s="50">
        <f>SUBTOTAL(109,DinheiroPago2[Período 1])</f>
        <v>0</v>
      </c>
      <c r="F45" s="50">
        <f>SUBTOTAL(109,DinheiroPago2[Período 2])</f>
        <v>0</v>
      </c>
      <c r="G45" s="50">
        <f>SUBTOTAL(109,DinheiroPago2[Período 3])</f>
        <v>0</v>
      </c>
      <c r="H45" s="50">
        <f>SUBTOTAL(109,DinheiroPago2[Período 4])</f>
        <v>0</v>
      </c>
      <c r="I45" s="50">
        <f>SUBTOTAL(109,DinheiroPago2[Período 5])</f>
        <v>0</v>
      </c>
      <c r="J45" s="50">
        <f>SUBTOTAL(109,DinheiroPago2[Período 6])</f>
        <v>0</v>
      </c>
      <c r="K45" s="50">
        <f>SUBTOTAL(109,DinheiroPago2[Período 7])</f>
        <v>0</v>
      </c>
      <c r="L45" s="50">
        <f>SUBTOTAL(109,DinheiroPago2[Período 8])</f>
        <v>0</v>
      </c>
      <c r="M45" s="50">
        <f>SUBTOTAL(109,DinheiroPago2[Período 9])</f>
        <v>0</v>
      </c>
      <c r="N45" s="50">
        <f>SUBTOTAL(109,DinheiroPago2[Período 10])</f>
        <v>0</v>
      </c>
      <c r="O45" s="50">
        <f>SUBTOTAL(109,DinheiroPago2[Período 11])</f>
        <v>0</v>
      </c>
      <c r="P45" s="50">
        <f>SUBTOTAL(109,DinheiroPago2[Período 12])</f>
        <v>0</v>
      </c>
      <c r="Q45" s="52"/>
      <c r="R45" s="50"/>
      <c r="S45" s="53"/>
    </row>
    <row r="46" spans="2:19" ht="17.25" customHeight="1" thickBot="1" x14ac:dyDescent="0.35">
      <c r="B46" s="40" t="s">
        <v>32</v>
      </c>
      <c r="C46" s="17"/>
      <c r="D46" s="32">
        <f>SUM(DinheiroPago[Período 0],DinheiroPago2[Período 0])</f>
        <v>0</v>
      </c>
      <c r="E46" s="32">
        <f>SUM(DinheiroPago[Período 1],DinheiroPago2[Período 1])</f>
        <v>400</v>
      </c>
      <c r="F46" s="32">
        <f>SUM(DinheiroPago[Período 2],DinheiroPago2[Período 2])</f>
        <v>0</v>
      </c>
      <c r="G46" s="32">
        <f>SUM(DinheiroPago[Período 3],DinheiroPago2[Período 3])</f>
        <v>226</v>
      </c>
      <c r="H46" s="32">
        <f>SUM(DinheiroPago[Período 4],DinheiroPago2[Período 4])</f>
        <v>0</v>
      </c>
      <c r="I46" s="32">
        <f>SUM(DinheiroPago[Período 5],DinheiroPago2[Período 5])</f>
        <v>0</v>
      </c>
      <c r="J46" s="32">
        <f>SUM(DinheiroPago[Período 6],DinheiroPago2[Período 6])</f>
        <v>0</v>
      </c>
      <c r="K46" s="32">
        <f>SUM(DinheiroPago[Período 7],DinheiroPago2[Período 7])</f>
        <v>0</v>
      </c>
      <c r="L46" s="32">
        <f>SUM(DinheiroPago[Período 8],DinheiroPago2[Período 8])</f>
        <v>0</v>
      </c>
      <c r="M46" s="32">
        <f>SUM(DinheiroPago[Período 9],DinheiroPago2[Período 9])</f>
        <v>0</v>
      </c>
      <c r="N46" s="32">
        <f>SUM(DinheiroPago[Período 10],DinheiroPago2[Período 10])</f>
        <v>0</v>
      </c>
      <c r="O46" s="32">
        <f>SUM(DinheiroPago[Período 11],DinheiroPago2[Período 11])</f>
        <v>0</v>
      </c>
      <c r="P46" s="32">
        <f>SUM(DinheiroPago[Período 12],DinheiroPago2[Período 12])</f>
        <v>0</v>
      </c>
      <c r="Q46" s="17"/>
      <c r="R46" s="32">
        <f>SUM(DinheiroPago[Total],DinheiroPago2[Total])</f>
        <v>626</v>
      </c>
      <c r="S46" s="31"/>
    </row>
    <row r="47" spans="2:19" ht="17.25" customHeight="1" x14ac:dyDescent="0.25"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</row>
    <row r="48" spans="2:19" ht="17.25" customHeight="1" thickBot="1" x14ac:dyDescent="0.35">
      <c r="B48" s="40" t="s">
        <v>27</v>
      </c>
      <c r="C48" s="17"/>
      <c r="D48" s="32">
        <f t="shared" ref="D48:P48" si="12">D13-D46</f>
        <v>100</v>
      </c>
      <c r="E48" s="32">
        <f t="shared" si="12"/>
        <v>-125</v>
      </c>
      <c r="F48" s="32">
        <f t="shared" si="12"/>
        <v>45</v>
      </c>
      <c r="G48" s="32">
        <f t="shared" si="12"/>
        <v>-1</v>
      </c>
      <c r="H48" s="32">
        <f t="shared" si="12"/>
        <v>224</v>
      </c>
      <c r="I48" s="32">
        <f t="shared" si="12"/>
        <v>269</v>
      </c>
      <c r="J48" s="32">
        <f t="shared" si="12"/>
        <v>269</v>
      </c>
      <c r="K48" s="32">
        <f t="shared" si="12"/>
        <v>269</v>
      </c>
      <c r="L48" s="32">
        <f t="shared" si="12"/>
        <v>269</v>
      </c>
      <c r="M48" s="32">
        <f t="shared" si="12"/>
        <v>269</v>
      </c>
      <c r="N48" s="32">
        <f t="shared" si="12"/>
        <v>269</v>
      </c>
      <c r="O48" s="32">
        <f t="shared" si="12"/>
        <v>269</v>
      </c>
      <c r="P48" s="36">
        <f t="shared" si="12"/>
        <v>269</v>
      </c>
      <c r="Q48" s="17"/>
      <c r="R48" s="32">
        <f>R13-R46</f>
        <v>438</v>
      </c>
      <c r="S48" s="31"/>
    </row>
  </sheetData>
  <mergeCells count="3">
    <mergeCell ref="B14:S14"/>
    <mergeCell ref="B38:S38"/>
    <mergeCell ref="B47:S47"/>
  </mergeCells>
  <conditionalFormatting sqref="E6:P6">
    <cfRule type="expression" dxfId="114" priority="3">
      <formula>E6&lt;0</formula>
    </cfRule>
  </conditionalFormatting>
  <conditionalFormatting sqref="E48:P48">
    <cfRule type="expression" dxfId="113" priority="2">
      <formula>E48&lt;0</formula>
    </cfRule>
  </conditionalFormatting>
  <conditionalFormatting sqref="E13:P13">
    <cfRule type="expression" dxfId="112" priority="1">
      <formula>E13&lt;0</formula>
    </cfRule>
  </conditionalFormatting>
  <printOptions horizontalCentered="1" verticalCentered="1"/>
  <pageMargins left="0.5" right="0.5" top="0.5" bottom="0.5" header="0.3" footer="0.3"/>
  <pageSetup paperSize="9" scale="61" orientation="landscape" r:id="rId1"/>
  <tableParts count="3"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" id="{2A825BFE-E693-4238-8389-5BCCFE76FDDD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NoIcons" iconId="0"/>
            </x14:iconSet>
          </x14:cfRule>
          <xm:sqref>E6:R6</xm:sqref>
        </x14:conditionalFormatting>
        <x14:conditionalFormatting xmlns:xm="http://schemas.microsoft.com/office/excel/2006/main">
          <x14:cfRule type="iconSet" priority="10" id="{3C1E0335-68B6-4E32-9520-0CC0127E0E62}">
            <x14:iconSet iconSet="3Flags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NoIcons" iconId="0"/>
            </x14:iconSet>
          </x14:cfRule>
          <xm:sqref>D13:R13</xm:sqref>
        </x14:conditionalFormatting>
        <x14:conditionalFormatting xmlns:xm="http://schemas.microsoft.com/office/excel/2006/main">
          <x14:cfRule type="iconSet" priority="11" id="{46DB4F99-6858-4D3F-B689-77C99193522A}">
            <x14:iconSet iconSet="3Flags"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3Flags" iconId="0"/>
              <x14:cfIcon iconSet="NoIcons" iconId="0"/>
              <x14:cfIcon iconSet="NoIcons" iconId="0"/>
            </x14:iconSet>
          </x14:cfRule>
          <xm:sqref>D48:P48 R48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>
          <x14:colorSeries theme="0" tint="-0.34998626667073579"/>
          <x14:colorNegative theme="9"/>
          <x14:colorAxis rgb="FF000000"/>
          <x14:colorMarkers theme="9"/>
          <x14:colorFirst theme="4"/>
          <x14:colorLast theme="5"/>
          <x14:colorHigh theme="6"/>
          <x14:colorLow theme="7"/>
          <x14:sparklines>
            <x14:sparkline>
              <xm:f>'Extrato de Fluxo de Caixa'!D12:P12</xm:f>
              <xm:sqref>S12</xm:sqref>
            </x14:sparkline>
          </x14:sparklines>
        </x14:sparklineGroup>
        <x14:sparklineGroup displayEmptyCellsAs="gap" markers="1">
          <x14:colorSeries theme="0" tint="-0.34998626667073579"/>
          <x14:colorNegative theme="9"/>
          <x14:colorAxis rgb="FF000000"/>
          <x14:colorMarkers theme="9"/>
          <x14:colorFirst theme="4"/>
          <x14:colorLast theme="5"/>
          <x14:colorHigh theme="6"/>
          <x14:colorLow theme="7"/>
          <x14:sparklines>
            <x14:sparkline>
              <xm:f>'Extrato de Fluxo de Caixa'!D37:P37</xm:f>
              <xm:sqref>S37</xm:sqref>
            </x14:sparkline>
          </x14:sparklines>
        </x14:sparklineGroup>
        <x14:sparklineGroup displayEmptyCellsAs="gap" markers="1">
          <x14:colorSeries theme="0" tint="-0.34998626667073579"/>
          <x14:colorNegative theme="9"/>
          <x14:colorAxis rgb="FF000000"/>
          <x14:colorMarkers theme="9"/>
          <x14:colorFirst theme="4"/>
          <x14:colorLast theme="5"/>
          <x14:colorHigh theme="6"/>
          <x14:colorLow theme="7"/>
          <x14:sparklines>
            <x14:sparkline>
              <xm:f>'Extrato de Fluxo de Caixa'!D45:P45</xm:f>
              <xm:sqref>S45</xm:sqref>
            </x14:sparkline>
          </x14:sparklines>
        </x14:sparklineGroup>
        <x14:sparklineGroup displayEmptyCellsAs="gap" markers="1">
          <x14:colorSeries theme="0" tint="-0.34998626667073579"/>
          <x14:colorNegative theme="9"/>
          <x14:colorAxis rgb="FF000000"/>
          <x14:colorMarkers theme="9"/>
          <x14:colorFirst theme="4"/>
          <x14:colorLast theme="5"/>
          <x14:colorHigh theme="6"/>
          <x14:colorLow theme="7"/>
          <x14:sparklines>
            <x14:sparkline>
              <xm:f>'Extrato de Fluxo de Caixa'!D48:P48</xm:f>
              <xm:sqref>S48</xm:sqref>
            </x14:sparkline>
            <x14:sparkline>
              <xm:f>'Extrato de Fluxo de Caixa'!D13:P13</xm:f>
              <xm:sqref>S13</xm:sqref>
            </x14:sparkline>
            <x14:sparkline>
              <xm:f>'Extrato de Fluxo de Caixa'!D46:P46</xm:f>
              <xm:sqref>S46</xm:sqref>
            </x14:sparkline>
            <x14:sparkline>
              <xm:f>'Extrato de Fluxo de Caixa'!D6:P6</xm:f>
              <xm:sqref>S6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TemplateFile" ma:contentTypeID="0x01010062057737089D604C8995D725789FFFFD0400C05BDBFCDB0BE84BA6AEC1D1A4F5E4CE" ma:contentTypeVersion="56" ma:contentTypeDescription="Create a new document." ma:contentTypeScope="" ma:versionID="c5c786f17e9890b7d2875e0bb647f603">
  <xsd:schema xmlns:xsd="http://www.w3.org/2001/XMLSchema" xmlns:xs="http://www.w3.org/2001/XMLSchema" xmlns:p="http://schemas.microsoft.com/office/2006/metadata/properties" xmlns:ns2="e5d022ff-4ce9-4922-b5a4-f245e35e2aac" targetNamespace="http://schemas.microsoft.com/office/2006/metadata/properties" ma:root="true" ma:fieldsID="3dddc4782ba87b44f6678511fd2b89e9" ns2:_="">
    <xsd:import namespace="e5d022ff-4ce9-4922-b5a4-f245e35e2aac"/>
    <xsd:element name="properties">
      <xsd:complexType>
        <xsd:sequence>
          <xsd:element name="documentManagement">
            <xsd:complexType>
              <xsd:all>
                <xsd:element ref="ns2:AcquiredFrom" minOccurs="0"/>
                <xsd:element ref="ns2:UACurrentWords" minOccurs="0"/>
                <xsd:element ref="ns2:TPApplication" minOccurs="0"/>
                <xsd:element ref="ns2:ApprovalLog" minOccurs="0"/>
                <xsd:element ref="ns2:ApprovalStatus" minOccurs="0"/>
                <xsd:element ref="ns2:AssetStart" minOccurs="0"/>
                <xsd:element ref="ns2:AssetExpire" minOccurs="0"/>
                <xsd:element ref="ns2:AssetId" minOccurs="0"/>
                <xsd:element ref="ns2:IsSearchable" minOccurs="0"/>
                <xsd:element ref="ns2:AssetType" minOccurs="0"/>
                <xsd:element ref="ns2:APAuthor" minOccurs="0"/>
                <xsd:element ref="ns2:BlockPublish" minOccurs="0"/>
                <xsd:element ref="ns2:BugNumber" minOccurs="0"/>
                <xsd:element ref="ns2:CampaignTagsTaxHTField0" minOccurs="0"/>
                <xsd:element ref="ns2:TPClientViewer" minOccurs="0"/>
                <xsd:element ref="ns2:ClipArtFilename" minOccurs="0"/>
                <xsd:element ref="ns2:TPCommandLine" minOccurs="0"/>
                <xsd:element ref="ns2:TPComponent" minOccurs="0"/>
                <xsd:element ref="ns2:ContentItem" minOccurs="0"/>
                <xsd:element ref="ns2:CrawlForDependencies" minOccurs="0"/>
                <xsd:element ref="ns2:CSXHash" minOccurs="0"/>
                <xsd:element ref="ns2:CSXSubmissionMarket" minOccurs="0"/>
                <xsd:element ref="ns2:CSXUpdate" minOccurs="0"/>
                <xsd:element ref="ns2:IntlLangReviewDate" minOccurs="0"/>
                <xsd:element ref="ns2:IsDeleted" minOccurs="0"/>
                <xsd:element ref="ns2:APDescription" minOccurs="0"/>
                <xsd:element ref="ns2:DirectSourceMarket" minOccurs="0"/>
                <xsd:element ref="ns2:Downloads" minOccurs="0"/>
                <xsd:element ref="ns2:DSATActionTaken" minOccurs="0"/>
                <xsd:element ref="ns2:APEditor" minOccurs="0"/>
                <xsd:element ref="ns2:EditorialStatus" minOccurs="0"/>
                <xsd:element ref="ns2:EditorialTags" minOccurs="0"/>
                <xsd:element ref="ns2:TPExecutable" minOccurs="0"/>
                <xsd:element ref="ns2:FeatureTagsTaxHTField0" minOccurs="0"/>
                <xsd:element ref="ns2:TPFriendlyName" minOccurs="0"/>
                <xsd:element ref="ns2:FriendlyTitle" minOccurs="0"/>
                <xsd:element ref="ns2:PrimaryImageGen" minOccurs="0"/>
                <xsd:element ref="ns2:HandoffToMSDN" minOccurs="0"/>
                <xsd:element ref="ns2:InProjectListLookup" minOccurs="0"/>
                <xsd:element ref="ns2:TPInstallLocation" minOccurs="0"/>
                <xsd:element ref="ns2:InternalTagsTaxHTField0" minOccurs="0"/>
                <xsd:element ref="ns2:IntlLangReview" minOccurs="0"/>
                <xsd:element ref="ns2:IntlLangReviewer" minOccurs="0"/>
                <xsd:element ref="ns2:MarketSpecific" minOccurs="0"/>
                <xsd:element ref="ns2:LastCompleteVersionLookup" minOccurs="0"/>
                <xsd:element ref="ns2:LastHandOff" minOccurs="0"/>
                <xsd:element ref="ns2:LastModifiedDateTime" minOccurs="0"/>
                <xsd:element ref="ns2:LastPreviewErrorLookup" minOccurs="0"/>
                <xsd:element ref="ns2:LastPreviewResultLookup" minOccurs="0"/>
                <xsd:element ref="ns2:LastPreviewAttemptDateLookup" minOccurs="0"/>
                <xsd:element ref="ns2:LastPreviewedByLookup" minOccurs="0"/>
                <xsd:element ref="ns2:LastPreviewTimeLookup" minOccurs="0"/>
                <xsd:element ref="ns2:LastPreviewVersionLookup" minOccurs="0"/>
                <xsd:element ref="ns2:LastPublishErrorLookup" minOccurs="0"/>
                <xsd:element ref="ns2:LastPublishResultLookup" minOccurs="0"/>
                <xsd:element ref="ns2:LastPublishAttemptDateLookup" minOccurs="0"/>
                <xsd:element ref="ns2:LastPublishedByLookup" minOccurs="0"/>
                <xsd:element ref="ns2:LastPublishTimeLookup" minOccurs="0"/>
                <xsd:element ref="ns2:LastPublishVersionLookup" minOccurs="0"/>
                <xsd:element ref="ns2:TPLaunchHelpLinkType" minOccurs="0"/>
                <xsd:element ref="ns2:LegacyData" minOccurs="0"/>
                <xsd:element ref="ns2:TPLaunchHelpLink" minOccurs="0"/>
                <xsd:element ref="ns2:LocComments" minOccurs="0"/>
                <xsd:element ref="ns2:LocLastLocAttemptVersionLookup" minOccurs="0"/>
                <xsd:element ref="ns2:LocLastLocAttemptVersionTypeLookup" minOccurs="0"/>
                <xsd:element ref="ns2:LocManualTestRequired" minOccurs="0"/>
                <xsd:element ref="ns2:LocMarketGroupTiers2" minOccurs="0"/>
                <xsd:element ref="ns2:LocNewPublishedVersionLookup" minOccurs="0"/>
                <xsd:element ref="ns2:LocOverallHandbackStatusLookup" minOccurs="0"/>
                <xsd:element ref="ns2:LocOverallLocStatusLookup" minOccurs="0"/>
                <xsd:element ref="ns2:LocOverallPreviewStatusLookup" minOccurs="0"/>
                <xsd:element ref="ns2:LocOverallPublishStatusLookup" minOccurs="0"/>
                <xsd:element ref="ns2:IntlLocPriority" minOccurs="0"/>
                <xsd:element ref="ns2:LocProcessedForHandoffsLookup" minOccurs="0"/>
                <xsd:element ref="ns2:LocProcessedForMarketsLookup" minOccurs="0"/>
                <xsd:element ref="ns2:LocPublishedDependentAssetsLookup" minOccurs="0"/>
                <xsd:element ref="ns2:LocPublishedLinkedAssetsLookup" minOccurs="0"/>
                <xsd:element ref="ns2:LocRecommendedHandoff" minOccurs="0"/>
                <xsd:element ref="ns2:LocalizationTagsTaxHTField0" minOccurs="0"/>
                <xsd:element ref="ns2:MachineTranslated" minOccurs="0"/>
                <xsd:element ref="ns2:Manager" minOccurs="0"/>
                <xsd:element ref="ns2:Markets" minOccurs="0"/>
                <xsd:element ref="ns2:Milestone" minOccurs="0"/>
                <xsd:element ref="ns2:TPNamespace" minOccurs="0"/>
                <xsd:element ref="ns2:NumericId" minOccurs="0"/>
                <xsd:element ref="ns2:NumOfRatingsLookup" minOccurs="0"/>
                <xsd:element ref="ns2:OOCacheId" minOccurs="0"/>
                <xsd:element ref="ns2:OpenTemplate" minOccurs="0"/>
                <xsd:element ref="ns2:OriginAsset" minOccurs="0"/>
                <xsd:element ref="ns2:OriginalRelease" minOccurs="0"/>
                <xsd:element ref="ns2:OriginalSourceMarket" minOccurs="0"/>
                <xsd:element ref="ns2:OutputCachingOn" minOccurs="0"/>
                <xsd:element ref="ns2:ParentAssetId" minOccurs="0"/>
                <xsd:element ref="ns2:PlannedPubDate" minOccurs="0"/>
                <xsd:element ref="ns2:PolicheckWords" minOccurs="0"/>
                <xsd:element ref="ns2:BusinessGroup" minOccurs="0"/>
                <xsd:element ref="ns2:UAProjectedTotalWords" minOccurs="0"/>
                <xsd:element ref="ns2:Provider" minOccurs="0"/>
                <xsd:element ref="ns2:Providers" minOccurs="0"/>
                <xsd:element ref="ns2:PublishStatusLookup" minOccurs="0"/>
                <xsd:element ref="ns2:PublishTargets" minOccurs="0"/>
                <xsd:element ref="ns2:RecommendationsModifier" minOccurs="0"/>
                <xsd:element ref="ns2:ArtSampleDocs" minOccurs="0"/>
                <xsd:element ref="ns2:ScenarioTagsTaxHTField0" minOccurs="0"/>
                <xsd:element ref="ns2:ShowIn" minOccurs="0"/>
                <xsd:element ref="ns2:SourceTitle" minOccurs="0"/>
                <xsd:element ref="ns2:CSXSubmissionDate" minOccurs="0"/>
                <xsd:element ref="ns2:SubmitterId" minOccurs="0"/>
                <xsd:element ref="ns2:TaxCatchAll" minOccurs="0"/>
                <xsd:element ref="ns2:TaxCatchAllLabel" minOccurs="0"/>
                <xsd:element ref="ns2:TemplateStatus" minOccurs="0"/>
                <xsd:element ref="ns2:TemplateTemplateType" minOccurs="0"/>
                <xsd:element ref="ns2:ThumbnailAssetId" minOccurs="0"/>
                <xsd:element ref="ns2:TimesCloned" minOccurs="0"/>
                <xsd:element ref="ns2:TrustLevel" minOccurs="0"/>
                <xsd:element ref="ns2:UALocComments" minOccurs="0"/>
                <xsd:element ref="ns2:UALocRecommendation" minOccurs="0"/>
                <xsd:element ref="ns2:UANotes" minOccurs="0"/>
                <xsd:element ref="ns2:TPAppVersion" minOccurs="0"/>
                <xsd:element ref="ns2:VoteCou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022ff-4ce9-4922-b5a4-f245e35e2aac" elementFormDefault="qualified">
    <xsd:import namespace="http://schemas.microsoft.com/office/2006/documentManagement/types"/>
    <xsd:import namespace="http://schemas.microsoft.com/office/infopath/2007/PartnerControls"/>
    <xsd:element name="AcquiredFrom" ma:index="1" nillable="true" ma:displayName="Acquired From" ma:default="Internal MS" ma:internalName="AcquiredFrom" ma:readOnly="false">
      <xsd:simpleType>
        <xsd:restriction base="dms:Choice">
          <xsd:enumeration value="Internal MS"/>
          <xsd:enumeration value="Community"/>
          <xsd:enumeration value="MVP"/>
          <xsd:enumeration value="Publisher"/>
          <xsd:enumeration value="Partner"/>
          <xsd:enumeration value="None"/>
        </xsd:restriction>
      </xsd:simpleType>
    </xsd:element>
    <xsd:element name="UACurrentWords" ma:index="2" nillable="true" ma:displayName="Actual Word Count" ma:default="" ma:internalName="UACurrentWords" ma:readOnly="false">
      <xsd:simpleType>
        <xsd:restriction base="dms:Unknown"/>
      </xsd:simpleType>
    </xsd:element>
    <xsd:element name="TPApplication" ma:index="3" nillable="true" ma:displayName="Application to Open Template With" ma:default="" ma:internalName="TPApplication">
      <xsd:simpleType>
        <xsd:restriction base="dms:Text"/>
      </xsd:simpleType>
    </xsd:element>
    <xsd:element name="ApprovalLog" ma:index="4" nillable="true" ma:displayName="Approval Log" ma:default="" ma:hidden="true" ma:internalName="ApprovalLog" ma:readOnly="false">
      <xsd:simpleType>
        <xsd:restriction base="dms:Note"/>
      </xsd:simpleType>
    </xsd:element>
    <xsd:element name="ApprovalStatus" ma:index="5" nillable="true" ma:displayName="Approval Status" ma:default="InProgress" ma:internalName="ApprovalStatus" ma:readOnly="false">
      <xsd:simpleType>
        <xsd:restriction base="dms:Choice">
          <xsd:enumeration value="InProgress"/>
          <xsd:enumeration value="Rejected"/>
          <xsd:enumeration value="Questionable"/>
          <xsd:enumeration value="ApprovedAutomatic"/>
          <xsd:enumeration value="ApprovedManual"/>
          <xsd:enumeration value="On Hold"/>
          <xsd:enumeration value="Needs Review"/>
          <xsd:enumeration value="A Violation"/>
          <xsd:enumeration value="Unpublished Violation"/>
        </xsd:restriction>
      </xsd:simpleType>
    </xsd:element>
    <xsd:element name="AssetStart" ma:index="6" nillable="true" ma:displayName="Asset Begin Date" ma:default="[Today]" ma:internalName="AssetStart" ma:readOnly="false">
      <xsd:simpleType>
        <xsd:restriction base="dms:DateTime"/>
      </xsd:simpleType>
    </xsd:element>
    <xsd:element name="AssetExpire" ma:index="7" nillable="true" ma:displayName="Asset End Date" ma:default="2029-01-01T00:00:00Z" ma:internalName="AssetExpire" ma:readOnly="false">
      <xsd:simpleType>
        <xsd:restriction base="dms:DateTime"/>
      </xsd:simpleType>
    </xsd:element>
    <xsd:element name="AssetId" ma:index="8" nillable="true" ma:displayName="Asset ID" ma:default="" ma:indexed="true" ma:internalName="AssetId" ma:readOnly="false">
      <xsd:simpleType>
        <xsd:restriction base="dms:Text">
          <xsd:maxLength value="255"/>
        </xsd:restriction>
      </xsd:simpleType>
    </xsd:element>
    <xsd:element name="IsSearchable" ma:index="9" nillable="true" ma:displayName="Asset Searchable?" ma:default="true" ma:internalName="IsSearchable" ma:readOnly="false">
      <xsd:simpleType>
        <xsd:restriction base="dms:Boolean"/>
      </xsd:simpleType>
    </xsd:element>
    <xsd:element name="AssetType" ma:index="10" nillable="true" ma:displayName="Asset Type" ma:default="" ma:internalName="AssetType" ma:readOnly="false">
      <xsd:simpleType>
        <xsd:restriction base="dms:Unknown"/>
      </xsd:simpleType>
    </xsd:element>
    <xsd:element name="APAuthor" ma:index="11" nillable="true" ma:displayName="Author" ma:default="" ma:list="UserInfo" ma:internalName="APAuth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BlockPublish" ma:index="12" nillable="true" ma:displayName="Block from Publishing?" ma:default="" ma:internalName="BlockPublish" ma:readOnly="false">
      <xsd:simpleType>
        <xsd:restriction base="dms:Boolean"/>
      </xsd:simpleType>
    </xsd:element>
    <xsd:element name="BugNumber" ma:index="13" nillable="true" ma:displayName="Bug Number" ma:default="" ma:internalName="BugNumber" ma:readOnly="false">
      <xsd:simpleType>
        <xsd:restriction base="dms:Text"/>
      </xsd:simpleType>
    </xsd:element>
    <xsd:element name="CampaignTagsTaxHTField0" ma:index="15" nillable="true" ma:taxonomy="true" ma:internalName="CampaignTagsTaxHTField0" ma:taxonomyFieldName="CampaignTags" ma:displayName="Campaigns" ma:readOnly="false" ma:default="" ma:fieldId="{ae2f8e70-a23c-4d77-9ad6-ea38e2352880}" ma:taxonomyMulti="true" ma:sspId="8f79753a-75d3-41f5-8ca3-40b843941b4f" ma:termSetId="ca0e50d4-faa1-44ce-961e-bb1441c60e6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ClientViewer" ma:index="16" nillable="true" ma:displayName="Client Viewer" ma:default="" ma:internalName="TPClientViewer">
      <xsd:simpleType>
        <xsd:restriction base="dms:Text"/>
      </xsd:simpleType>
    </xsd:element>
    <xsd:element name="ClipArtFilename" ma:index="17" nillable="true" ma:displayName="Clip Art Name" ma:default="" ma:internalName="ClipArtFilename" ma:readOnly="false">
      <xsd:simpleType>
        <xsd:restriction base="dms:Text"/>
      </xsd:simpleType>
    </xsd:element>
    <xsd:element name="TPCommandLine" ma:index="18" nillable="true" ma:displayName="Command Line" ma:default="" ma:internalName="TPCommandLine">
      <xsd:simpleType>
        <xsd:restriction base="dms:Text"/>
      </xsd:simpleType>
    </xsd:element>
    <xsd:element name="TPComponent" ma:index="19" nillable="true" ma:displayName="Component" ma:default="" ma:internalName="TPComponent">
      <xsd:simpleType>
        <xsd:restriction base="dms:Text"/>
      </xsd:simpleType>
    </xsd:element>
    <xsd:element name="ContentItem" ma:index="20" nillable="true" ma:displayName="Content Item" ma:default="" ma:hidden="true" ma:internalName="ContentItem" ma:readOnly="false">
      <xsd:simpleType>
        <xsd:restriction base="dms:Unknown"/>
      </xsd:simpleType>
    </xsd:element>
    <xsd:element name="CrawlForDependencies" ma:index="22" nillable="true" ma:displayName="Crawl for Dependencies?" ma:default="true" ma:internalName="CrawlForDependencies" ma:readOnly="false">
      <xsd:simpleType>
        <xsd:restriction base="dms:Boolean"/>
      </xsd:simpleType>
    </xsd:element>
    <xsd:element name="CSXHash" ma:index="25" nillable="true" ma:displayName="CSX Hash" ma:default="" ma:indexed="true" ma:internalName="CSXHash" ma:readOnly="false">
      <xsd:simpleType>
        <xsd:restriction base="dms:Text"/>
      </xsd:simpleType>
    </xsd:element>
    <xsd:element name="CSXSubmissionMarket" ma:index="26" nillable="true" ma:displayName="CSX Submission Market" ma:default="" ma:list="{5E053CDA-25E6-45C3-8DB3-AEDB8C2D0B9A}" ma:internalName="CSXSubmissionMarket" ma:readOnly="false" ma:showField="MarketName" ma:web="e5d022ff-4ce9-4922-b5a4-f245e35e2aac">
      <xsd:simpleType>
        <xsd:restriction base="dms:Lookup"/>
      </xsd:simpleType>
    </xsd:element>
    <xsd:element name="CSXUpdate" ma:index="27" nillable="true" ma:displayName="CSX Updated?" ma:default="false" ma:internalName="CSXUpdate" ma:readOnly="false">
      <xsd:simpleType>
        <xsd:restriction base="dms:Boolean"/>
      </xsd:simpleType>
    </xsd:element>
    <xsd:element name="IntlLangReviewDate" ma:index="28" nillable="true" ma:displayName="Date to Complete Intl QA" ma:default="" ma:internalName="IntlLangReviewDate" ma:readOnly="false">
      <xsd:simpleType>
        <xsd:restriction base="dms:DateTime"/>
      </xsd:simpleType>
    </xsd:element>
    <xsd:element name="IsDeleted" ma:index="29" nillable="true" ma:displayName="Deleted?" ma:default="" ma:internalName="IsDeleted" ma:readOnly="false">
      <xsd:simpleType>
        <xsd:restriction base="dms:Boolean"/>
      </xsd:simpleType>
    </xsd:element>
    <xsd:element name="APDescription" ma:index="30" nillable="true" ma:displayName="Description" ma:default="" ma:internalName="APDescription" ma:readOnly="false">
      <xsd:simpleType>
        <xsd:restriction base="dms:Note"/>
      </xsd:simpleType>
    </xsd:element>
    <xsd:element name="DirectSourceMarket" ma:index="31" nillable="true" ma:displayName="Direct Source Market Group" ma:default="" ma:internalName="DirectSourceMarket" ma:readOnly="false">
      <xsd:simpleType>
        <xsd:restriction base="dms:Text"/>
      </xsd:simpleType>
    </xsd:element>
    <xsd:element name="Downloads" ma:index="32" nillable="true" ma:displayName="Downloads" ma:default="0" ma:hidden="true" ma:internalName="Downloads" ma:readOnly="false">
      <xsd:simpleType>
        <xsd:restriction base="dms:Unknown"/>
      </xsd:simpleType>
    </xsd:element>
    <xsd:element name="DSATActionTaken" ma:index="33" nillable="true" ma:displayName="DSAT Action Taken" ma:default="" ma:internalName="DSATActionTaken" ma:readOnly="false">
      <xsd:simpleType>
        <xsd:restriction base="dms:Choice">
          <xsd:enumeration value="Best Bets"/>
          <xsd:enumeration value="Expire"/>
          <xsd:enumeration value="Hide"/>
          <xsd:enumeration value="None"/>
        </xsd:restriction>
      </xsd:simpleType>
    </xsd:element>
    <xsd:element name="APEditor" ma:index="34" nillable="true" ma:displayName="Editor" ma:default="" ma:list="UserInfo" ma:internalName="APEdito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ialStatus" ma:index="35" nillable="true" ma:displayName="Editorial Status" ma:default="" ma:internalName="EditorialStatus" ma:readOnly="false">
      <xsd:simpleType>
        <xsd:restriction base="dms:Unknown"/>
      </xsd:simpleType>
    </xsd:element>
    <xsd:element name="EditorialTags" ma:index="36" nillable="true" ma:displayName="Editorial Tags" ma:default="" ma:internalName="EditorialTags">
      <xsd:simpleType>
        <xsd:restriction base="dms:Unknown"/>
      </xsd:simpleType>
    </xsd:element>
    <xsd:element name="TPExecutable" ma:index="37" nillable="true" ma:displayName="Executable" ma:default="" ma:internalName="TPExecutable">
      <xsd:simpleType>
        <xsd:restriction base="dms:Text"/>
      </xsd:simpleType>
    </xsd:element>
    <xsd:element name="FeatureTagsTaxHTField0" ma:index="39" nillable="true" ma:taxonomy="true" ma:internalName="FeatureTagsTaxHTField0" ma:taxonomyFieldName="FeatureTags" ma:displayName="Features" ma:readOnly="false" ma:default="" ma:fieldId="{0e79027b-5c14-42ce-a448-02002c169e4a}" ma:taxonomyMulti="true" ma:sspId="8f79753a-75d3-41f5-8ca3-40b843941b4f" ma:termSetId="f1ab6845-967d-4854-a0ba-4ec07f0f811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PFriendlyName" ma:index="40" nillable="true" ma:displayName="Friendly Name" ma:default="" ma:internalName="TPFriendlyName">
      <xsd:simpleType>
        <xsd:restriction base="dms:Text"/>
      </xsd:simpleType>
    </xsd:element>
    <xsd:element name="FriendlyTitle" ma:index="41" nillable="true" ma:displayName="Friendly Title" ma:default="" ma:description="Shorter title to be used when displaying search results" ma:internalName="FriendlyTitle" ma:readOnly="false">
      <xsd:simpleType>
        <xsd:restriction base="dms:Text"/>
      </xsd:simpleType>
    </xsd:element>
    <xsd:element name="PrimaryImageGen" ma:index="42" nillable="true" ma:displayName="Generate Images?" ma:default="true" ma:internalName="PrimaryImageGen">
      <xsd:simpleType>
        <xsd:restriction base="dms:Boolean"/>
      </xsd:simpleType>
    </xsd:element>
    <xsd:element name="HandoffToMSDN" ma:index="43" nillable="true" ma:displayName="Handoff To MSDN Date" ma:default="" ma:internalName="HandoffToMSDN" ma:readOnly="false">
      <xsd:simpleType>
        <xsd:restriction base="dms:DateTime"/>
      </xsd:simpleType>
    </xsd:element>
    <xsd:element name="InProjectListLookup" ma:index="44" nillable="true" ma:displayName="InProjectListLookup" ma:list="{E1DF242F-2A85-4892-885C-E072ACF78A23}" ma:internalName="InProjectListLookup" ma:readOnly="true" ma:showField="InProjectLis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InstallLocation" ma:index="45" nillable="true" ma:displayName="Install Location" ma:default="" ma:internalName="TPInstallLocation">
      <xsd:simpleType>
        <xsd:restriction base="dms:Text"/>
      </xsd:simpleType>
    </xsd:element>
    <xsd:element name="InternalTagsTaxHTField0" ma:index="47" nillable="true" ma:taxonomy="true" ma:internalName="InternalTagsTaxHTField0" ma:taxonomyFieldName="InternalTags" ma:displayName="Internal Tags" ma:readOnly="false" ma:default="" ma:fieldId="{e822bdd4-da07-482e-8962-d405657c171a}" ma:taxonomyMulti="true" ma:sspId="8f79753a-75d3-41f5-8ca3-40b843941b4f" ma:termSetId="82b6639e-f7fc-4c18-ad2d-003a6e70776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IntlLangReview" ma:index="48" nillable="true" ma:displayName="Intl Lang QA Review Required?" ma:default="" ma:internalName="IntlLangReview" ma:readOnly="false">
      <xsd:simpleType>
        <xsd:restriction base="dms:Boolean"/>
      </xsd:simpleType>
    </xsd:element>
    <xsd:element name="IntlLangReviewer" ma:index="49" nillable="true" ma:displayName="Intl Lang QA Reviewer" ma:default="" ma:internalName="IntlLangReviewer" ma:readOnly="false">
      <xsd:simpleType>
        <xsd:restriction base="dms:Text"/>
      </xsd:simpleType>
    </xsd:element>
    <xsd:element name="MarketSpecific" ma:index="50" nillable="true" ma:displayName="Is Market Specific?" ma:default="" ma:internalName="MarketSpecific" ma:readOnly="false">
      <xsd:simpleType>
        <xsd:restriction base="dms:Boolean"/>
      </xsd:simpleType>
    </xsd:element>
    <xsd:element name="LastCompleteVersionLookup" ma:index="51" nillable="true" ma:displayName="Last Complete Version Lookup" ma:default="" ma:list="{E1DF242F-2A85-4892-885C-E072ACF78A23}" ma:internalName="LastCompleteVersionLookup" ma:readOnly="true" ma:showField="LastComplete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HandOff" ma:index="52" nillable="true" ma:displayName="Last Hand-off" ma:default="" ma:internalName="LastHandOff" ma:readOnly="false">
      <xsd:simpleType>
        <xsd:restriction base="dms:DateTime"/>
      </xsd:simpleType>
    </xsd:element>
    <xsd:element name="LastModifiedDateTime" ma:index="53" nillable="true" ma:displayName="Last Modified Date" ma:default="" ma:internalName="LastModifiedDateTime" ma:readOnly="false">
      <xsd:simpleType>
        <xsd:restriction base="dms:DateTime"/>
      </xsd:simpleType>
    </xsd:element>
    <xsd:element name="LastPreviewErrorLookup" ma:index="54" nillable="true" ma:displayName="Last Preview Attempt Error" ma:default="" ma:list="{E1DF242F-2A85-4892-885C-E072ACF78A23}" ma:internalName="LastPreviewErrorLookup" ma:readOnly="true" ma:showField="LastPreview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ResultLookup" ma:index="55" nillable="true" ma:displayName="Last Preview Attempt Result" ma:default="" ma:list="{E1DF242F-2A85-4892-885C-E072ACF78A23}" ma:internalName="LastPreviewResultLookup" ma:readOnly="true" ma:showField="LastPreview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AttemptDateLookup" ma:index="56" nillable="true" ma:displayName="Last Preview Attempted On" ma:default="" ma:list="{E1DF242F-2A85-4892-885C-E072ACF78A23}" ma:internalName="LastPreviewAttemptDateLookup" ma:readOnly="true" ma:showField="LastPreview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edByLookup" ma:index="57" nillable="true" ma:displayName="Last Previewed By" ma:default="" ma:list="{E1DF242F-2A85-4892-885C-E072ACF78A23}" ma:internalName="LastPreviewedByLookup" ma:readOnly="true" ma:showField="LastPreview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TimeLookup" ma:index="58" nillable="true" ma:displayName="Last Previewed Date" ma:default="" ma:list="{E1DF242F-2A85-4892-885C-E072ACF78A23}" ma:internalName="LastPreviewTimeLookup" ma:readOnly="true" ma:showField="LastPreview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reviewVersionLookup" ma:index="59" nillable="true" ma:displayName="Last Previewed Version" ma:default="" ma:list="{E1DF242F-2A85-4892-885C-E072ACF78A23}" ma:internalName="LastPreviewVersionLookup" ma:readOnly="true" ma:showField="LastPreview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rrorLookup" ma:index="60" nillable="true" ma:displayName="Last Publish Attempt Error" ma:default="" ma:list="{E1DF242F-2A85-4892-885C-E072ACF78A23}" ma:internalName="LastPublishErrorLookup" ma:readOnly="true" ma:showField="LastPublishError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ResultLookup" ma:index="61" nillable="true" ma:displayName="Last Publish Attempt Result" ma:default="" ma:list="{E1DF242F-2A85-4892-885C-E072ACF78A23}" ma:internalName="LastPublishResultLookup" ma:readOnly="true" ma:showField="LastPublishResult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AttemptDateLookup" ma:index="62" nillable="true" ma:displayName="Last Publish Attempted On" ma:default="" ma:list="{E1DF242F-2A85-4892-885C-E072ACF78A23}" ma:internalName="LastPublishAttemptDateLookup" ma:readOnly="true" ma:showField="LastPublishAttemptDat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edByLookup" ma:index="63" nillable="true" ma:displayName="Last Published By" ma:default="" ma:list="{E1DF242F-2A85-4892-885C-E072ACF78A23}" ma:internalName="LastPublishedByLookup" ma:readOnly="true" ma:showField="LastPublishedBy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TimeLookup" ma:index="64" nillable="true" ma:displayName="Last Published Date" ma:default="" ma:list="{E1DF242F-2A85-4892-885C-E072ACF78A23}" ma:internalName="LastPublishTimeLookup" ma:readOnly="true" ma:showField="LastPublishTi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LastPublishVersionLookup" ma:index="65" nillable="true" ma:displayName="Last Published Version" ma:default="" ma:list="{E1DF242F-2A85-4892-885C-E072ACF78A23}" ma:internalName="LastPublishVersionLookup" ma:readOnly="true" ma:showField="LastPublishVersion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PLaunchHelpLinkType" ma:index="66" nillable="true" ma:displayName="Launch Help Link Type" ma:default="Template" ma:internalName="TPLaunchHelpLinkType">
      <xsd:simpleType>
        <xsd:restriction base="dms:Choice">
          <xsd:enumeration value="Template"/>
          <xsd:enumeration value="Training"/>
          <xsd:enumeration value="URL"/>
          <xsd:enumeration value="None"/>
        </xsd:restriction>
      </xsd:simpleType>
    </xsd:element>
    <xsd:element name="LegacyData" ma:index="67" nillable="true" ma:displayName="Legacy Data" ma:default="" ma:internalName="LegacyData" ma:readOnly="false">
      <xsd:simpleType>
        <xsd:restriction base="dms:Note"/>
      </xsd:simpleType>
    </xsd:element>
    <xsd:element name="TPLaunchHelpLink" ma:index="68" nillable="true" ma:displayName="Link to Launch Help Topic" ma:default="" ma:internalName="TPLaunchHelpLink">
      <xsd:simpleType>
        <xsd:restriction base="dms:Text"/>
      </xsd:simpleType>
    </xsd:element>
    <xsd:element name="LocComments" ma:index="69" nillable="true" ma:displayName="Loc Approval Comments" ma:default="" ma:internalName="LocComments" ma:readOnly="false">
      <xsd:simpleType>
        <xsd:restriction base="dms:Note"/>
      </xsd:simpleType>
    </xsd:element>
    <xsd:element name="LocLastLocAttemptVersionLookup" ma:index="70" nillable="true" ma:displayName="Loc Last Loc Attempt Version" ma:default="" ma:list="{D8789D1B-66E7-4538-930C-3B8C6A9D68AA}" ma:internalName="LocLastLocAttemptVersionLookup" ma:readOnly="false" ma:showField="LastLocAttemptVersion" ma:web="e5d022ff-4ce9-4922-b5a4-f245e35e2aac">
      <xsd:simpleType>
        <xsd:restriction base="dms:Lookup"/>
      </xsd:simpleType>
    </xsd:element>
    <xsd:element name="LocLastLocAttemptVersionTypeLookup" ma:index="71" nillable="true" ma:displayName="Loc Last Loc Attempt Version Type" ma:default="" ma:list="{D8789D1B-66E7-4538-930C-3B8C6A9D68AA}" ma:internalName="LocLastLocAttemptVersionTypeLookup" ma:readOnly="true" ma:showField="LastLocAttemptVersionType" ma:web="e5d022ff-4ce9-4922-b5a4-f245e35e2aac">
      <xsd:simpleType>
        <xsd:restriction base="dms:Lookup"/>
      </xsd:simpleType>
    </xsd:element>
    <xsd:element name="LocManualTestRequired" ma:index="72" nillable="true" ma:displayName="Loc Manual Test Required" ma:default="" ma:internalName="LocManualTestRequired" ma:readOnly="false">
      <xsd:simpleType>
        <xsd:restriction base="dms:Boolean"/>
      </xsd:simpleType>
    </xsd:element>
    <xsd:element name="LocMarketGroupTiers2" ma:index="73" nillable="true" ma:displayName="Loc Market Group Tiers" ma:internalName="LocMarketGroupTiers2" ma:readOnly="false">
      <xsd:simpleType>
        <xsd:restriction base="dms:Unknown"/>
      </xsd:simpleType>
    </xsd:element>
    <xsd:element name="LocNewPublishedVersionLookup" ma:index="74" nillable="true" ma:displayName="Loc New Published Version Lookup" ma:default="" ma:list="{D8789D1B-66E7-4538-930C-3B8C6A9D68AA}" ma:internalName="LocNewPublishedVersionLookup" ma:readOnly="true" ma:showField="NewPublishedVersion" ma:web="e5d022ff-4ce9-4922-b5a4-f245e35e2aac">
      <xsd:simpleType>
        <xsd:restriction base="dms:Lookup"/>
      </xsd:simpleType>
    </xsd:element>
    <xsd:element name="LocOverallHandbackStatusLookup" ma:index="75" nillable="true" ma:displayName="Loc Overall Handback Status" ma:default="" ma:list="{D8789D1B-66E7-4538-930C-3B8C6A9D68AA}" ma:internalName="LocOverallHandbackStatusLookup" ma:readOnly="true" ma:showField="OverallHandbackStatus" ma:web="e5d022ff-4ce9-4922-b5a4-f245e35e2aac">
      <xsd:simpleType>
        <xsd:restriction base="dms:Lookup"/>
      </xsd:simpleType>
    </xsd:element>
    <xsd:element name="LocOverallLocStatusLookup" ma:index="76" nillable="true" ma:displayName="Loc Overall Localize Status" ma:default="" ma:list="{D8789D1B-66E7-4538-930C-3B8C6A9D68AA}" ma:internalName="LocOverallLocStatusLookup" ma:readOnly="true" ma:showField="OverallLocStatus" ma:web="e5d022ff-4ce9-4922-b5a4-f245e35e2aac">
      <xsd:simpleType>
        <xsd:restriction base="dms:Lookup"/>
      </xsd:simpleType>
    </xsd:element>
    <xsd:element name="LocOverallPreviewStatusLookup" ma:index="77" nillable="true" ma:displayName="Loc Overall Preview Status" ma:default="" ma:list="{D8789D1B-66E7-4538-930C-3B8C6A9D68AA}" ma:internalName="LocOverallPreviewStatusLookup" ma:readOnly="true" ma:showField="OverallPreviewStatus" ma:web="e5d022ff-4ce9-4922-b5a4-f245e35e2aac">
      <xsd:simpleType>
        <xsd:restriction base="dms:Lookup"/>
      </xsd:simpleType>
    </xsd:element>
    <xsd:element name="LocOverallPublishStatusLookup" ma:index="78" nillable="true" ma:displayName="Loc Overall Publish Status" ma:default="" ma:list="{D8789D1B-66E7-4538-930C-3B8C6A9D68AA}" ma:internalName="LocOverallPublishStatusLookup" ma:readOnly="true" ma:showField="OverallPublishStatus" ma:web="e5d022ff-4ce9-4922-b5a4-f245e35e2aac">
      <xsd:simpleType>
        <xsd:restriction base="dms:Lookup"/>
      </xsd:simpleType>
    </xsd:element>
    <xsd:element name="IntlLocPriority" ma:index="79" nillable="true" ma:displayName="Loc Priority" ma:default="" ma:internalName="IntlLocPriority" ma:readOnly="false">
      <xsd:simpleType>
        <xsd:restriction base="dms:Unknown"/>
      </xsd:simpleType>
    </xsd:element>
    <xsd:element name="LocProcessedForHandoffsLookup" ma:index="80" nillable="true" ma:displayName="Loc Processed For Handoffs" ma:default="" ma:list="{D8789D1B-66E7-4538-930C-3B8C6A9D68AA}" ma:internalName="LocProcessedForHandoffsLookup" ma:readOnly="true" ma:showField="ProcessedForHandoffs" ma:web="e5d022ff-4ce9-4922-b5a4-f245e35e2aac">
      <xsd:simpleType>
        <xsd:restriction base="dms:Lookup"/>
      </xsd:simpleType>
    </xsd:element>
    <xsd:element name="LocProcessedForMarketsLookup" ma:index="81" nillable="true" ma:displayName="Loc Processed For Markets" ma:default="" ma:list="{D8789D1B-66E7-4538-930C-3B8C6A9D68AA}" ma:internalName="LocProcessedForMarketsLookup" ma:readOnly="true" ma:showField="ProcessedForMarkets" ma:web="e5d022ff-4ce9-4922-b5a4-f245e35e2aac">
      <xsd:simpleType>
        <xsd:restriction base="dms:Lookup"/>
      </xsd:simpleType>
    </xsd:element>
    <xsd:element name="LocPublishedDependentAssetsLookup" ma:index="82" nillable="true" ma:displayName="Loc Published Dependent Assets" ma:default="" ma:list="{D8789D1B-66E7-4538-930C-3B8C6A9D68AA}" ma:internalName="LocPublishedDependentAssetsLookup" ma:readOnly="true" ma:showField="PublishedDependentAssets" ma:web="e5d022ff-4ce9-4922-b5a4-f245e35e2aac">
      <xsd:simpleType>
        <xsd:restriction base="dms:Lookup"/>
      </xsd:simpleType>
    </xsd:element>
    <xsd:element name="LocPublishedLinkedAssetsLookup" ma:index="83" nillable="true" ma:displayName="Loc Published Linked Assets" ma:default="" ma:list="{D8789D1B-66E7-4538-930C-3B8C6A9D68AA}" ma:internalName="LocPublishedLinkedAssetsLookup" ma:readOnly="true" ma:showField="PublishedLinkedAssets" ma:web="e5d022ff-4ce9-4922-b5a4-f245e35e2aac">
      <xsd:simpleType>
        <xsd:restriction base="dms:Lookup"/>
      </xsd:simpleType>
    </xsd:element>
    <xsd:element name="LocRecommendedHandoff" ma:index="84" nillable="true" ma:displayName="Loc Recommended Handoff" ma:default="" ma:indexed="true" ma:internalName="LocRecommendedHandoff" ma:readOnly="false">
      <xsd:simpleType>
        <xsd:restriction base="dms:Text"/>
      </xsd:simpleType>
    </xsd:element>
    <xsd:element name="LocalizationTagsTaxHTField0" ma:index="86" nillable="true" ma:taxonomy="true" ma:internalName="LocalizationTagsTaxHTField0" ma:taxonomyFieldName="LocalizationTags" ma:displayName="Localization Tags" ma:readOnly="false" ma:default="" ma:fieldId="{63236a87-6c6d-4a5b-9fe1-c805ecae0bb8}" ma:taxonomyMulti="true" ma:sspId="8f79753a-75d3-41f5-8ca3-40b843941b4f" ma:termSetId="5b7703a5-8e8b-4b58-8b31-1cea35331da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achineTranslated" ma:index="87" nillable="true" ma:displayName="Machine Translated" ma:default="" ma:internalName="MachineTranslated" ma:readOnly="false">
      <xsd:simpleType>
        <xsd:restriction base="dms:Boolean"/>
      </xsd:simpleType>
    </xsd:element>
    <xsd:element name="Manager" ma:index="88" nillable="true" ma:displayName="Manager" ma:hidden="true" ma:internalName="Manager" ma:readOnly="false">
      <xsd:simpleType>
        <xsd:restriction base="dms:Text"/>
      </xsd:simpleType>
    </xsd:element>
    <xsd:element name="Markets" ma:index="89" nillable="true" ma:displayName="Markets" ma:default="" ma:description="Leave blank to show in all markets" ma:list="{5E053CDA-25E6-45C3-8DB3-AEDB8C2D0B9A}" ma:internalName="Markets" ma:readOnly="false" ma:showField="MarketName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ilestone" ma:index="90" nillable="true" ma:displayName="Milestone" ma:default="" ma:internalName="Milestone" ma:readOnly="false">
      <xsd:simpleType>
        <xsd:restriction base="dms:Unknown"/>
      </xsd:simpleType>
    </xsd:element>
    <xsd:element name="TPNamespace" ma:index="93" nillable="true" ma:displayName="Namespace" ma:default="" ma:internalName="TPNamespace">
      <xsd:simpleType>
        <xsd:restriction base="dms:Text"/>
      </xsd:simpleType>
    </xsd:element>
    <xsd:element name="NumericId" ma:index="94" nillable="true" ma:displayName="Numeric ID" ma:default="" ma:indexed="true" ma:internalName="NumericId" ma:readOnly="false">
      <xsd:simpleType>
        <xsd:restriction base="dms:Number"/>
      </xsd:simpleType>
    </xsd:element>
    <xsd:element name="NumOfRatingsLookup" ma:index="95" nillable="true" ma:displayName="NumOfRatings" ma:default="" ma:list="{E1DF242F-2A85-4892-885C-E072ACF78A23}" ma:internalName="NumOfRatingsLookup" ma:readOnly="true" ma:showField="NumOfRating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OCacheId" ma:index="96" nillable="true" ma:displayName="OOCacheId" ma:internalName="OOCacheId" ma:readOnly="false">
      <xsd:simpleType>
        <xsd:restriction base="dms:Text"/>
      </xsd:simpleType>
    </xsd:element>
    <xsd:element name="OpenTemplate" ma:index="97" nillable="true" ma:displayName="Open Template" ma:default="true" ma:internalName="OpenTemplate">
      <xsd:simpleType>
        <xsd:restriction base="dms:Boolean"/>
      </xsd:simpleType>
    </xsd:element>
    <xsd:element name="OriginAsset" ma:index="98" nillable="true" ma:displayName="Origin Asset" ma:default="" ma:internalName="OriginAsset" ma:readOnly="false">
      <xsd:simpleType>
        <xsd:restriction base="dms:Text"/>
      </xsd:simpleType>
    </xsd:element>
    <xsd:element name="OriginalRelease" ma:index="99" nillable="true" ma:displayName="Original Release" ma:default="15" ma:internalName="OriginalRelease" ma:readOnly="false">
      <xsd:simpleType>
        <xsd:restriction base="dms:Choice">
          <xsd:enumeration value="14"/>
          <xsd:enumeration value="15"/>
          <xsd:enumeration value="16"/>
        </xsd:restriction>
      </xsd:simpleType>
    </xsd:element>
    <xsd:element name="OriginalSourceMarket" ma:index="100" nillable="true" ma:displayName="Original Source Market Group" ma:default="" ma:internalName="OriginalSourceMarket" ma:readOnly="false">
      <xsd:simpleType>
        <xsd:restriction base="dms:Text"/>
      </xsd:simpleType>
    </xsd:element>
    <xsd:element name="OutputCachingOn" ma:index="101" nillable="true" ma:displayName="Output Caching" ma:default="true" ma:hidden="true" ma:internalName="OutputCachingOn" ma:readOnly="false">
      <xsd:simpleType>
        <xsd:restriction base="dms:Boolean"/>
      </xsd:simpleType>
    </xsd:element>
    <xsd:element name="ParentAssetId" ma:index="102" nillable="true" ma:displayName="Parent Asset Id" ma:default="" ma:internalName="ParentAssetId" ma:readOnly="false">
      <xsd:simpleType>
        <xsd:restriction base="dms:Text"/>
      </xsd:simpleType>
    </xsd:element>
    <xsd:element name="PlannedPubDate" ma:index="103" nillable="true" ma:displayName="Planned Publish Date" ma:default="" ma:indexed="true" ma:internalName="PlannedPubDate" ma:readOnly="false">
      <xsd:simpleType>
        <xsd:restriction base="dms:DateTime"/>
      </xsd:simpleType>
    </xsd:element>
    <xsd:element name="PolicheckWords" ma:index="104" nillable="true" ma:displayName="Policheck Words" ma:default="" ma:internalName="PolicheckWords" ma:readOnly="false">
      <xsd:simpleType>
        <xsd:restriction base="dms:Text"/>
      </xsd:simpleType>
    </xsd:element>
    <xsd:element name="BusinessGroup" ma:index="105" nillable="true" ma:displayName="Product Division Owner" ma:default="" ma:internalName="BusinessGroup" ma:readOnly="false">
      <xsd:simpleType>
        <xsd:restriction base="dms:Unknown"/>
      </xsd:simpleType>
    </xsd:element>
    <xsd:element name="UAProjectedTotalWords" ma:index="106" nillable="true" ma:displayName="Projected Word Count" ma:default="" ma:internalName="UAProjectedTotalWords" ma:readOnly="false">
      <xsd:simpleType>
        <xsd:restriction base="dms:Unknown"/>
      </xsd:simpleType>
    </xsd:element>
    <xsd:element name="Provider" ma:index="107" nillable="true" ma:displayName="Provider" ma:default="" ma:internalName="Provider" ma:readOnly="false">
      <xsd:simpleType>
        <xsd:restriction base="dms:Unknown"/>
      </xsd:simpleType>
    </xsd:element>
    <xsd:element name="Providers" ma:index="108" nillable="true" ma:displayName="Providers" ma:default="" ma:internalName="Providers">
      <xsd:simpleType>
        <xsd:restriction base="dms:Unknown"/>
      </xsd:simpleType>
    </xsd:element>
    <xsd:element name="PublishStatusLookup" ma:index="109" nillable="true" ma:displayName="Publish Status" ma:default="" ma:list="{E1DF242F-2A85-4892-885C-E072ACF78A23}" ma:internalName="PublishStatusLookup" ma:readOnly="false" ma:showField="PublishStatus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PublishTargets" ma:index="110" nillable="true" ma:displayName="Publish Target" ma:default="OfficeOnlineVNext" ma:internalName="PublishTargets" ma:readOnly="false">
      <xsd:simpleType>
        <xsd:restriction base="dms:Unknown"/>
      </xsd:simpleType>
    </xsd:element>
    <xsd:element name="RecommendationsModifier" ma:index="111" nillable="true" ma:displayName="Recommendations Modifier" ma:default="" ma:internalName="RecommendationsModifier" ma:readOnly="false">
      <xsd:simpleType>
        <xsd:restriction base="dms:Number"/>
      </xsd:simpleType>
    </xsd:element>
    <xsd:element name="ArtSampleDocs" ma:index="112" nillable="true" ma:displayName="Sample Docs" ma:default="" ma:hidden="true" ma:internalName="ArtSampleDocs" ma:readOnly="false">
      <xsd:simpleType>
        <xsd:restriction base="dms:Text"/>
      </xsd:simpleType>
    </xsd:element>
    <xsd:element name="ScenarioTagsTaxHTField0" ma:index="114" nillable="true" ma:taxonomy="true" ma:internalName="ScenarioTagsTaxHTField0" ma:taxonomyFieldName="ScenarioTags" ma:displayName="Scenarios" ma:readOnly="false" ma:default="" ma:fieldId="{67a15031-dfad-40a3-960d-7cc941d4a986}" ma:taxonomyMulti="true" ma:sspId="8f79753a-75d3-41f5-8ca3-40b843941b4f" ma:termSetId="4b7d5f16-e2f2-4fc0-bab3-6e8b931e57d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owIn" ma:index="116" nillable="true" ma:displayName="Show In" ma:default="Show everywhere" ma:internalName="ShowIn" ma:readOnly="false">
      <xsd:simpleType>
        <xsd:restriction base="dms:Choice">
          <xsd:enumeration value="Hide on web"/>
          <xsd:enumeration value="On Web no search"/>
          <xsd:enumeration value="Show everywhere"/>
          <xsd:enumeration value="Special use only"/>
        </xsd:restriction>
      </xsd:simpleType>
    </xsd:element>
    <xsd:element name="SourceTitle" ma:index="117" nillable="true" ma:displayName="Source Title" ma:default="" ma:indexed="true" ma:internalName="SourceTitle" ma:readOnly="false">
      <xsd:simpleType>
        <xsd:restriction base="dms:Text"/>
      </xsd:simpleType>
    </xsd:element>
    <xsd:element name="CSXSubmissionDate" ma:index="118" nillable="true" ma:displayName="Submission Date" ma:default="" ma:internalName="CSXSubmissionDate" ma:readOnly="false">
      <xsd:simpleType>
        <xsd:restriction base="dms:DateTime"/>
      </xsd:simpleType>
    </xsd:element>
    <xsd:element name="SubmitterId" ma:index="119" nillable="true" ma:displayName="Submitter ID" ma:default="" ma:internalName="SubmitterId" ma:readOnly="false">
      <xsd:simpleType>
        <xsd:restriction base="dms:Text"/>
      </xsd:simpleType>
    </xsd:element>
    <xsd:element name="TaxCatchAll" ma:index="120" nillable="true" ma:displayName="Taxonomy Catch All Column" ma:hidden="true" ma:list="{2f397b98-bdf6-47da-a1ac-484548f5e091}" ma:internalName="TaxCatchAll" ma:showField="CatchAllData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1" nillable="true" ma:displayName="Taxonomy Catch All Column1" ma:hidden="true" ma:list="{2f397b98-bdf6-47da-a1ac-484548f5e091}" ma:internalName="TaxCatchAllLabel" ma:readOnly="true" ma:showField="CatchAllDataLabel" ma:web="e5d022ff-4ce9-4922-b5a4-f245e35e2aa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mplateStatus" ma:index="122" nillable="true" ma:displayName="Template Status" ma:default="" ma:internalName="TemplateStatus">
      <xsd:simpleType>
        <xsd:restriction base="dms:Unknown"/>
      </xsd:simpleType>
    </xsd:element>
    <xsd:element name="TemplateTemplateType" ma:index="123" nillable="true" ma:displayName="Template Type" ma:default="" ma:internalName="TemplateTemplateType">
      <xsd:simpleType>
        <xsd:restriction base="dms:Unknown"/>
      </xsd:simpleType>
    </xsd:element>
    <xsd:element name="ThumbnailAssetId" ma:index="124" nillable="true" ma:displayName="Thumbnail Image Asset" ma:default="" ma:internalName="ThumbnailAssetId" ma:readOnly="false">
      <xsd:simpleType>
        <xsd:restriction base="dms:Text"/>
      </xsd:simpleType>
    </xsd:element>
    <xsd:element name="TimesCloned" ma:index="125" nillable="true" ma:displayName="Times Cloned" ma:default="" ma:internalName="TimesCloned" ma:readOnly="false">
      <xsd:simpleType>
        <xsd:restriction base="dms:Number"/>
      </xsd:simpleType>
    </xsd:element>
    <xsd:element name="TrustLevel" ma:index="127" nillable="true" ma:displayName="Trust Level" ma:default="1 Microsoft Managed Content" ma:internalName="TrustLevel" ma:readOnly="false">
      <xsd:simpleType>
        <xsd:restriction base="dms:Unknown"/>
      </xsd:simpleType>
    </xsd:element>
    <xsd:element name="UALocComments" ma:index="128" nillable="true" ma:displayName="UA Loc Comments" ma:default="" ma:internalName="UALocComments" ma:readOnly="false">
      <xsd:simpleType>
        <xsd:restriction base="dms:Note"/>
      </xsd:simpleType>
    </xsd:element>
    <xsd:element name="UALocRecommendation" ma:index="129" nillable="true" ma:displayName="UA Loc Recommendation" ma:default="Localize" ma:internalName="UALocRecommendation" ma:readOnly="false">
      <xsd:simpleType>
        <xsd:restriction base="dms:Choice">
          <xsd:enumeration value="Localize"/>
          <xsd:enumeration value="Never Localize"/>
          <xsd:enumeration value="Priority Localize"/>
        </xsd:restriction>
      </xsd:simpleType>
    </xsd:element>
    <xsd:element name="UANotes" ma:index="130" nillable="true" ma:displayName="UA Notes" ma:default="" ma:internalName="UANotes" ma:readOnly="false">
      <xsd:simpleType>
        <xsd:restriction base="dms:Note"/>
      </xsd:simpleType>
    </xsd:element>
    <xsd:element name="TPAppVersion" ma:index="131" nillable="true" ma:displayName="Version" ma:default="" ma:internalName="TPAppVersion">
      <xsd:simpleType>
        <xsd:restriction base="dms:Text"/>
      </xsd:simpleType>
    </xsd:element>
    <xsd:element name="VoteCount" ma:index="132" nillable="true" ma:displayName="Vote Count" ma:default="" ma:internalName="VoteCount" ma:readOnly="fals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1" ma:displayName="Content Type"/>
        <xsd:element ref="dc:title" minOccurs="0" maxOccurs="1" ma:index="126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PDescription xmlns="e5d022ff-4ce9-4922-b5a4-f245e35e2aac" xsi:nil="true"/>
    <AssetExpire xmlns="e5d022ff-4ce9-4922-b5a4-f245e35e2aac">2029-01-01T08:00:00+00:00</AssetExpire>
    <CampaignTagsTaxHTField0 xmlns="e5d022ff-4ce9-4922-b5a4-f245e35e2aac">
      <Terms xmlns="http://schemas.microsoft.com/office/infopath/2007/PartnerControls"/>
    </CampaignTagsTaxHTField0>
    <IntlLangReviewDate xmlns="e5d022ff-4ce9-4922-b5a4-f245e35e2aac" xsi:nil="true"/>
    <TPFriendlyName xmlns="e5d022ff-4ce9-4922-b5a4-f245e35e2aac" xsi:nil="true"/>
    <IntlLangReview xmlns="e5d022ff-4ce9-4922-b5a4-f245e35e2aac">false</IntlLangReview>
    <LocLastLocAttemptVersionLookup xmlns="e5d022ff-4ce9-4922-b5a4-f245e35e2aac">848662</LocLastLocAttemptVersionLookup>
    <PolicheckWords xmlns="e5d022ff-4ce9-4922-b5a4-f245e35e2aac" xsi:nil="true"/>
    <SubmitterId xmlns="e5d022ff-4ce9-4922-b5a4-f245e35e2aac" xsi:nil="true"/>
    <AcquiredFrom xmlns="e5d022ff-4ce9-4922-b5a4-f245e35e2aac">Internal MS</AcquiredFrom>
    <EditorialStatus xmlns="e5d022ff-4ce9-4922-b5a4-f245e35e2aac">Complete</EditorialStatus>
    <Markets xmlns="e5d022ff-4ce9-4922-b5a4-f245e35e2aac"/>
    <OriginAsset xmlns="e5d022ff-4ce9-4922-b5a4-f245e35e2aac" xsi:nil="true"/>
    <AssetStart xmlns="e5d022ff-4ce9-4922-b5a4-f245e35e2aac">2012-07-27T02:37:00+00:00</AssetStart>
    <FriendlyTitle xmlns="e5d022ff-4ce9-4922-b5a4-f245e35e2aac" xsi:nil="true"/>
    <MarketSpecific xmlns="e5d022ff-4ce9-4922-b5a4-f245e35e2aac">false</MarketSpecific>
    <TPNamespace xmlns="e5d022ff-4ce9-4922-b5a4-f245e35e2aac" xsi:nil="true"/>
    <PublishStatusLookup xmlns="e5d022ff-4ce9-4922-b5a4-f245e35e2aac">
      <Value>455369</Value>
    </PublishStatusLookup>
    <APAuthor xmlns="e5d022ff-4ce9-4922-b5a4-f245e35e2aac">
      <UserInfo>
        <DisplayName>REDMOND\v-sa</DisplayName>
        <AccountId>2467</AccountId>
        <AccountType/>
      </UserInfo>
    </APAuthor>
    <TPCommandLine xmlns="e5d022ff-4ce9-4922-b5a4-f245e35e2aac" xsi:nil="true"/>
    <IntlLangReviewer xmlns="e5d022ff-4ce9-4922-b5a4-f245e35e2aac" xsi:nil="true"/>
    <OpenTemplate xmlns="e5d022ff-4ce9-4922-b5a4-f245e35e2aac">true</OpenTemplate>
    <CSXSubmissionDate xmlns="e5d022ff-4ce9-4922-b5a4-f245e35e2aac" xsi:nil="true"/>
    <TaxCatchAll xmlns="e5d022ff-4ce9-4922-b5a4-f245e35e2aac"/>
    <Manager xmlns="e5d022ff-4ce9-4922-b5a4-f245e35e2aac" xsi:nil="true"/>
    <NumericId xmlns="e5d022ff-4ce9-4922-b5a4-f245e35e2aac" xsi:nil="true"/>
    <ParentAssetId xmlns="e5d022ff-4ce9-4922-b5a4-f245e35e2aac" xsi:nil="true"/>
    <OriginalSourceMarket xmlns="e5d022ff-4ce9-4922-b5a4-f245e35e2aac">english</OriginalSourceMarket>
    <ApprovalStatus xmlns="e5d022ff-4ce9-4922-b5a4-f245e35e2aac">InProgress</ApprovalStatus>
    <TPComponent xmlns="e5d022ff-4ce9-4922-b5a4-f245e35e2aac" xsi:nil="true"/>
    <EditorialTags xmlns="e5d022ff-4ce9-4922-b5a4-f245e35e2aac" xsi:nil="true"/>
    <TPExecutable xmlns="e5d022ff-4ce9-4922-b5a4-f245e35e2aac" xsi:nil="true"/>
    <TPLaunchHelpLink xmlns="e5d022ff-4ce9-4922-b5a4-f245e35e2aac" xsi:nil="true"/>
    <LocComments xmlns="e5d022ff-4ce9-4922-b5a4-f245e35e2aac" xsi:nil="true"/>
    <LocRecommendedHandoff xmlns="e5d022ff-4ce9-4922-b5a4-f245e35e2aac" xsi:nil="true"/>
    <SourceTitle xmlns="e5d022ff-4ce9-4922-b5a4-f245e35e2aac" xsi:nil="true"/>
    <CSXUpdate xmlns="e5d022ff-4ce9-4922-b5a4-f245e35e2aac">false</CSXUpdate>
    <IntlLocPriority xmlns="e5d022ff-4ce9-4922-b5a4-f245e35e2aac" xsi:nil="true"/>
    <UAProjectedTotalWords xmlns="e5d022ff-4ce9-4922-b5a4-f245e35e2aac" xsi:nil="true"/>
    <AssetType xmlns="e5d022ff-4ce9-4922-b5a4-f245e35e2aac">TP</AssetType>
    <MachineTranslated xmlns="e5d022ff-4ce9-4922-b5a4-f245e35e2aac">false</MachineTranslated>
    <OutputCachingOn xmlns="e5d022ff-4ce9-4922-b5a4-f245e35e2aac">false</OutputCachingOn>
    <TemplateStatus xmlns="e5d022ff-4ce9-4922-b5a4-f245e35e2aac">Complete</TemplateStatus>
    <IsSearchable xmlns="e5d022ff-4ce9-4922-b5a4-f245e35e2aac">true</IsSearchable>
    <ContentItem xmlns="e5d022ff-4ce9-4922-b5a4-f245e35e2aac" xsi:nil="true"/>
    <HandoffToMSDN xmlns="e5d022ff-4ce9-4922-b5a4-f245e35e2aac" xsi:nil="true"/>
    <ShowIn xmlns="e5d022ff-4ce9-4922-b5a4-f245e35e2aac">Show everywhere</ShowIn>
    <ThumbnailAssetId xmlns="e5d022ff-4ce9-4922-b5a4-f245e35e2aac" xsi:nil="true"/>
    <UALocComments xmlns="e5d022ff-4ce9-4922-b5a4-f245e35e2aac" xsi:nil="true"/>
    <UALocRecommendation xmlns="e5d022ff-4ce9-4922-b5a4-f245e35e2aac">Localize</UALocRecommendation>
    <LastModifiedDateTime xmlns="e5d022ff-4ce9-4922-b5a4-f245e35e2aac" xsi:nil="true"/>
    <LegacyData xmlns="e5d022ff-4ce9-4922-b5a4-f245e35e2aac" xsi:nil="true"/>
    <LocManualTestRequired xmlns="e5d022ff-4ce9-4922-b5a4-f245e35e2aac">false</LocManualTestRequired>
    <LocMarketGroupTiers2 xmlns="e5d022ff-4ce9-4922-b5a4-f245e35e2aac" xsi:nil="true"/>
    <ClipArtFilename xmlns="e5d022ff-4ce9-4922-b5a4-f245e35e2aac" xsi:nil="true"/>
    <TPApplication xmlns="e5d022ff-4ce9-4922-b5a4-f245e35e2aac" xsi:nil="true"/>
    <CSXHash xmlns="e5d022ff-4ce9-4922-b5a4-f245e35e2aac" xsi:nil="true"/>
    <DirectSourceMarket xmlns="e5d022ff-4ce9-4922-b5a4-f245e35e2aac">english</DirectSourceMarket>
    <PrimaryImageGen xmlns="e5d022ff-4ce9-4922-b5a4-f245e35e2aac">true</PrimaryImageGen>
    <PlannedPubDate xmlns="e5d022ff-4ce9-4922-b5a4-f245e35e2aac" xsi:nil="true"/>
    <CSXSubmissionMarket xmlns="e5d022ff-4ce9-4922-b5a4-f245e35e2aac" xsi:nil="true"/>
    <Downloads xmlns="e5d022ff-4ce9-4922-b5a4-f245e35e2aac">0</Downloads>
    <ArtSampleDocs xmlns="e5d022ff-4ce9-4922-b5a4-f245e35e2aac" xsi:nil="true"/>
    <TrustLevel xmlns="e5d022ff-4ce9-4922-b5a4-f245e35e2aac">1 Microsoft Managed Content</TrustLevel>
    <BlockPublish xmlns="e5d022ff-4ce9-4922-b5a4-f245e35e2aac">false</BlockPublish>
    <TPLaunchHelpLinkType xmlns="e5d022ff-4ce9-4922-b5a4-f245e35e2aac">Template</TPLaunchHelpLinkType>
    <LocalizationTagsTaxHTField0 xmlns="e5d022ff-4ce9-4922-b5a4-f245e35e2aac">
      <Terms xmlns="http://schemas.microsoft.com/office/infopath/2007/PartnerControls"/>
    </LocalizationTagsTaxHTField0>
    <BusinessGroup xmlns="e5d022ff-4ce9-4922-b5a4-f245e35e2aac" xsi:nil="true"/>
    <Providers xmlns="e5d022ff-4ce9-4922-b5a4-f245e35e2aac" xsi:nil="true"/>
    <TemplateTemplateType xmlns="e5d022ff-4ce9-4922-b5a4-f245e35e2aac">Excel 2007 Default</TemplateTemplateType>
    <TimesCloned xmlns="e5d022ff-4ce9-4922-b5a4-f245e35e2aac" xsi:nil="true"/>
    <TPAppVersion xmlns="e5d022ff-4ce9-4922-b5a4-f245e35e2aac" xsi:nil="true"/>
    <VoteCount xmlns="e5d022ff-4ce9-4922-b5a4-f245e35e2aac" xsi:nil="true"/>
    <FeatureTagsTaxHTField0 xmlns="e5d022ff-4ce9-4922-b5a4-f245e35e2aac">
      <Terms xmlns="http://schemas.microsoft.com/office/infopath/2007/PartnerControls"/>
    </FeatureTagsTaxHTField0>
    <Provider xmlns="e5d022ff-4ce9-4922-b5a4-f245e35e2aac" xsi:nil="true"/>
    <UACurrentWords xmlns="e5d022ff-4ce9-4922-b5a4-f245e35e2aac" xsi:nil="true"/>
    <AssetId xmlns="e5d022ff-4ce9-4922-b5a4-f245e35e2aac">TP103107636</AssetId>
    <TPClientViewer xmlns="e5d022ff-4ce9-4922-b5a4-f245e35e2aac" xsi:nil="true"/>
    <DSATActionTaken xmlns="e5d022ff-4ce9-4922-b5a4-f245e35e2aac" xsi:nil="true"/>
    <APEditor xmlns="e5d022ff-4ce9-4922-b5a4-f245e35e2aac">
      <UserInfo>
        <DisplayName/>
        <AccountId xsi:nil="true"/>
        <AccountType/>
      </UserInfo>
    </APEditor>
    <TPInstallLocation xmlns="e5d022ff-4ce9-4922-b5a4-f245e35e2aac" xsi:nil="true"/>
    <OOCacheId xmlns="e5d022ff-4ce9-4922-b5a4-f245e35e2aac" xsi:nil="true"/>
    <IsDeleted xmlns="e5d022ff-4ce9-4922-b5a4-f245e35e2aac">false</IsDeleted>
    <PublishTargets xmlns="e5d022ff-4ce9-4922-b5a4-f245e35e2aac">OfficeOnlineVNext</PublishTargets>
    <ApprovalLog xmlns="e5d022ff-4ce9-4922-b5a4-f245e35e2aac" xsi:nil="true"/>
    <BugNumber xmlns="e5d022ff-4ce9-4922-b5a4-f245e35e2aac" xsi:nil="true"/>
    <CrawlForDependencies xmlns="e5d022ff-4ce9-4922-b5a4-f245e35e2aac">false</CrawlForDependencies>
    <InternalTagsTaxHTField0 xmlns="e5d022ff-4ce9-4922-b5a4-f245e35e2aac">
      <Terms xmlns="http://schemas.microsoft.com/office/infopath/2007/PartnerControls"/>
    </InternalTagsTaxHTField0>
    <LastHandOff xmlns="e5d022ff-4ce9-4922-b5a4-f245e35e2aac" xsi:nil="true"/>
    <Milestone xmlns="e5d022ff-4ce9-4922-b5a4-f245e35e2aac" xsi:nil="true"/>
    <OriginalRelease xmlns="e5d022ff-4ce9-4922-b5a4-f245e35e2aac">15</OriginalRelease>
    <RecommendationsModifier xmlns="e5d022ff-4ce9-4922-b5a4-f245e35e2aac" xsi:nil="true"/>
    <ScenarioTagsTaxHTField0 xmlns="e5d022ff-4ce9-4922-b5a4-f245e35e2aac">
      <Terms xmlns="http://schemas.microsoft.com/office/infopath/2007/PartnerControls"/>
    </ScenarioTagsTaxHTField0>
    <UANotes xmlns="e5d022ff-4ce9-4922-b5a4-f245e35e2aa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70C785D2-7370-4F9B-A23A-4949BE8F64F1}"/>
</file>

<file path=customXml/itemProps2.xml><?xml version="1.0" encoding="utf-8"?>
<ds:datastoreItem xmlns:ds="http://schemas.openxmlformats.org/officeDocument/2006/customXml" ds:itemID="{5B3E0B03-3C0B-4CFD-B845-625A9F95FDA1}"/>
</file>

<file path=customXml/itemProps3.xml><?xml version="1.0" encoding="utf-8"?>
<ds:datastoreItem xmlns:ds="http://schemas.openxmlformats.org/officeDocument/2006/customXml" ds:itemID="{484A6592-B3DF-4E49-A978-FDD19C943EF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Extrato de Fluxo de Caixa</vt:lpstr>
      <vt:lpstr>FiscalYearStartDate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2012-07-26T18:07:35Z</dcterms:created>
  <dcterms:modified xsi:type="dcterms:W3CDTF">2012-09-17T03:20:07Z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0x01010062057737089D604C8995D725789FFFFD0400C05BDBFCDB0BE84BA6AEC1D1A4F5E4CE</vt:lpwstr>
  </property>
  <property fmtid="{D5CDD505-2E9C-101B-9397-08002B2CF9AE}" pid="3" name="InternalTags">
    <vt:lpwstr/>
  </property>
  <property fmtid="{D5CDD505-2E9C-101B-9397-08002B2CF9AE}" pid="4" name="FeatureTags">
    <vt:lpwstr/>
  </property>
  <property fmtid="{D5CDD505-2E9C-101B-9397-08002B2CF9AE}" pid="5" name="LocalizationTags">
    <vt:lpwstr/>
  </property>
  <property fmtid="{D5CDD505-2E9C-101B-9397-08002B2CF9AE}" pid="6" name="ScenarioTags">
    <vt:lpwstr/>
  </property>
  <property fmtid="{D5CDD505-2E9C-101B-9397-08002B2CF9AE}" pid="7" name="CampaignTags">
    <vt:lpwstr/>
  </property>
  <property fmtid="{D5CDD505-2E9C-101B-9397-08002B2CF9AE}" pid="8" name="HiddenCategoryTags">
    <vt:lpwstr/>
  </property>
  <property fmtid="{D5CDD505-2E9C-101B-9397-08002B2CF9AE}" pid="9" name="CategoryTags">
    <vt:lpwstr/>
  </property>
  <property fmtid="{D5CDD505-2E9C-101B-9397-08002B2CF9AE}" pid="10" name="LocMarketGroupTiers">
    <vt:lpwstr/>
  </property>
  <property fmtid="{D5CDD505-2E9C-101B-9397-08002B2CF9AE}" pid="11" name="CategoryTagsTaxHTField0">
    <vt:lpwstr/>
  </property>
  <property fmtid="{D5CDD505-2E9C-101B-9397-08002B2CF9AE}" pid="12" name="HiddenCategoryTagsTaxHTField0">
    <vt:lpwstr/>
  </property>
</Properties>
</file>